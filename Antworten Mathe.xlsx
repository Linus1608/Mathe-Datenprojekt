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252ff24a0bd237c/Dokumente/Schule/Neuer Ordner/"/>
    </mc:Choice>
  </mc:AlternateContent>
  <xr:revisionPtr revIDLastSave="357" documentId="8_{A25E4ED8-4F78-4BB4-AD5D-EA948B465614}" xr6:coauthVersionLast="47" xr6:coauthVersionMax="47" xr10:uidLastSave="{BCC458A6-6D7C-47E9-9F9A-6B571EAABEF9}"/>
  <bookViews>
    <workbookView xWindow="-120" yWindow="-120" windowWidth="38640" windowHeight="21120" xr2:uid="{EF295948-DBD7-4C1D-8FE3-FB015B0F9049}"/>
  </bookViews>
  <sheets>
    <sheet name="Rohdat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2" i="1" l="1"/>
  <c r="D331" i="1"/>
  <c r="D330" i="1"/>
  <c r="D329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5" i="1"/>
  <c r="K316" i="1"/>
  <c r="K317" i="1"/>
  <c r="K318" i="1"/>
  <c r="K319" i="1"/>
  <c r="K320" i="1"/>
  <c r="K321" i="1"/>
  <c r="K322" i="1"/>
  <c r="K323" i="1"/>
  <c r="K324" i="1"/>
  <c r="K32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1" i="1"/>
  <c r="G152" i="1"/>
  <c r="G153" i="1"/>
  <c r="G154" i="1"/>
  <c r="G155" i="1"/>
  <c r="G156" i="1"/>
  <c r="G158" i="1"/>
  <c r="G159" i="1"/>
  <c r="G160" i="1"/>
  <c r="G161" i="1"/>
  <c r="G162" i="1"/>
  <c r="G163" i="1"/>
  <c r="G164" i="1"/>
  <c r="G165" i="1"/>
  <c r="G166" i="1"/>
  <c r="G167" i="1"/>
  <c r="G168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7" i="1"/>
  <c r="G208" i="1"/>
  <c r="G209" i="1"/>
  <c r="G210" i="1"/>
  <c r="G211" i="1"/>
  <c r="G212" i="1"/>
  <c r="G213" i="1"/>
  <c r="G214" i="1"/>
  <c r="G215" i="1"/>
  <c r="G216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9" i="1"/>
  <c r="G260" i="1"/>
  <c r="G261" i="1"/>
  <c r="G262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2" i="1"/>
  <c r="G303" i="1"/>
  <c r="G304" i="1"/>
  <c r="G305" i="1"/>
  <c r="G306" i="1"/>
  <c r="G307" i="1"/>
  <c r="G308" i="1"/>
  <c r="G309" i="1"/>
  <c r="G310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2" i="1"/>
</calcChain>
</file>

<file path=xl/sharedStrings.xml><?xml version="1.0" encoding="utf-8"?>
<sst xmlns="http://schemas.openxmlformats.org/spreadsheetml/2006/main" count="2892" uniqueCount="524">
  <si>
    <t>Zeitstempel</t>
  </si>
  <si>
    <t>Wie alt sind Sie?</t>
  </si>
  <si>
    <t>Welchen Status hast du ?</t>
  </si>
  <si>
    <t>Mit welchem Geschlecht indetifizierst du dich?</t>
  </si>
  <si>
    <t>Wie verbringst du am liebsten deine Freizeit?</t>
  </si>
  <si>
    <t>Wie verbringst du deine Freizeit?</t>
  </si>
  <si>
    <t>Wie viel Stunden pro Tag hast du Freizeit</t>
  </si>
  <si>
    <t>Wenn du Zeit mit deinen Freunden verbringst,mache ich ...</t>
  </si>
  <si>
    <t>Wenn du deine Freizeit alleine verbringst fehlen dir dann deine Freunde?</t>
  </si>
  <si>
    <t>2026/04/18 12:51:30 PM OEZ</t>
  </si>
  <si>
    <t>15 - 18</t>
  </si>
  <si>
    <t>Gymnasiast/OberschÃ¼ler</t>
  </si>
  <si>
    <t>MÃ¤nnlich</t>
  </si>
  <si>
    <t>Mit Freunden</t>
  </si>
  <si>
    <t>Mit Freunden treffen</t>
  </si>
  <si>
    <t>4 - 6 Stunden</t>
  </si>
  <si>
    <t>Zu Hause Chillen</t>
  </si>
  <si>
    <t>Ja</t>
  </si>
  <si>
    <t>2026/04/18 12:57:16 PM OEZ</t>
  </si>
  <si>
    <t>Sport</t>
  </si>
  <si>
    <t>2026/04/18 12:58:57 PM OEZ</t>
  </si>
  <si>
    <t>0 - 14</t>
  </si>
  <si>
    <t>Weiblich</t>
  </si>
  <si>
    <t>Alleine</t>
  </si>
  <si>
    <t>3 - 4 Stunden</t>
  </si>
  <si>
    <t>Raus gehen</t>
  </si>
  <si>
    <t>Nein</t>
  </si>
  <si>
    <t>2026/04/18 2:55:35 PM OEZ</t>
  </si>
  <si>
    <t>Segelfliegen</t>
  </si>
  <si>
    <t>2026/04/18 10:49:45 PM OEZ</t>
  </si>
  <si>
    <t>Kreative TÃ¤tigkeiten</t>
  </si>
  <si>
    <t>2026/04/19 9:05:44 AM OEZ</t>
  </si>
  <si>
    <t>2026/04/19 12:29:42 PM OEZ</t>
  </si>
  <si>
    <t>2026/04/19 12:30:01 PM OEZ</t>
  </si>
  <si>
    <t xml:space="preserve">Entweder Sport oder einfach chillen </t>
  </si>
  <si>
    <t>2026/04/19 12:34:11 PM OEZ</t>
  </si>
  <si>
    <t>2026/04/19 12:42:00 PM OEZ</t>
  </si>
  <si>
    <t>2026/04/19 12:42:46 PM OEZ</t>
  </si>
  <si>
    <t xml:space="preserve">Bier trinken </t>
  </si>
  <si>
    <t>2026/04/19 1:27:59 PM OEZ</t>
  </si>
  <si>
    <t>50+</t>
  </si>
  <si>
    <t>Arbeiter</t>
  </si>
  <si>
    <t>Zeit mit der Familie</t>
  </si>
  <si>
    <t>Mehr als 6 Stunden</t>
  </si>
  <si>
    <t>Fahrradfahren,  Reisen</t>
  </si>
  <si>
    <t>2026/04/19 1:49:13 PM OEZ</t>
  </si>
  <si>
    <t>2026/04/19 2:12:49 PM OEZ</t>
  </si>
  <si>
    <t>Weniger als 2 Stunden</t>
  </si>
  <si>
    <t xml:space="preserve">Handballspielen Quatschen </t>
  </si>
  <si>
    <t>2026/04/19 2:20:07 PM OEZ</t>
  </si>
  <si>
    <t>Bowling</t>
  </si>
  <si>
    <t>2026/04/19 3:23:16 PM OEZ</t>
  </si>
  <si>
    <t>GrundschÃ¼ler</t>
  </si>
  <si>
    <t>2026/04/19 3:25:31 PM OEZ</t>
  </si>
  <si>
    <t>25 - 50</t>
  </si>
  <si>
    <t>2026/04/19 3:39:20 PM OEZ</t>
  </si>
  <si>
    <t>2026/04/20 8:46:30 PM OEZ</t>
  </si>
  <si>
    <t>zocken</t>
  </si>
  <si>
    <t>2026/04/21 10:08:30 AM OEZ</t>
  </si>
  <si>
    <t>2026/04/21 10:08:34 AM OEZ</t>
  </si>
  <si>
    <t>Kino</t>
  </si>
  <si>
    <t>2026/04/21 10:08:38 AM OEZ</t>
  </si>
  <si>
    <t>2026/04/21 10:10:00 AM OEZ</t>
  </si>
  <si>
    <t>drauÃŸen chillen</t>
  </si>
  <si>
    <t>2026/04/21 10:11:58 AM OEZ</t>
  </si>
  <si>
    <t>Grillen, Bierchen trinken</t>
  </si>
  <si>
    <t>2026/04/21 10:12:54 AM OEZ</t>
  </si>
  <si>
    <t>Shoppen</t>
  </si>
  <si>
    <t>2026/04/21 10:14:41 AM OEZ</t>
  </si>
  <si>
    <t>Musik, Spielen</t>
  </si>
  <si>
    <t>2026/04/21 10:16:23 AM OEZ</t>
  </si>
  <si>
    <t>2026/04/21 10:17:18 AM OEZ</t>
  </si>
  <si>
    <t>2026/04/21 10:18:09 AM OEZ</t>
  </si>
  <si>
    <t>Mehr oder weniger alles davon</t>
  </si>
  <si>
    <t>Andres</t>
  </si>
  <si>
    <t>2026/04/21 10:19:21 AM OEZ</t>
  </si>
  <si>
    <t>Sport, Freunde treffen, Zeit mir der Familie, Gartenarbeit, kreative TÃ¤tigkeiten, Backen, NÃ¤hen</t>
  </si>
  <si>
    <t>Quatschen, gemeinsam essen</t>
  </si>
  <si>
    <t>2026/04/21 10:21:01 AM OEZ</t>
  </si>
  <si>
    <t>2026/04/21 10:30:30 AM OEZ</t>
  </si>
  <si>
    <t>2026/04/21 10:40:26 AM OEZ</t>
  </si>
  <si>
    <t>2026/04/21 10:40:27 AM OEZ</t>
  </si>
  <si>
    <t>2026/04/21 10:41:14 AM OEZ</t>
  </si>
  <si>
    <t>2026/04/21 10:42:36 AM OEZ</t>
  </si>
  <si>
    <t>2026/04/21 10:46:59 AM OEZ</t>
  </si>
  <si>
    <t>2026/04/21 10:48:00 AM OEZ</t>
  </si>
  <si>
    <t>2026/04/21 10:51:15 AM OEZ</t>
  </si>
  <si>
    <t>2026/04/21 10:55:15 AM OEZ</t>
  </si>
  <si>
    <t>2026/04/21 10:55:21 AM OEZ</t>
  </si>
  <si>
    <t>Punkt 1-4</t>
  </si>
  <si>
    <t>Punkt 2, 3, 4</t>
  </si>
  <si>
    <t>2026/04/21 11:02:49 AM OEZ</t>
  </si>
  <si>
    <t>MÃ¶chte Ich nicht sagen</t>
  </si>
  <si>
    <t>2026/04/21 11:05:52 AM OEZ</t>
  </si>
  <si>
    <t xml:space="preserve">Immer verschieden </t>
  </si>
  <si>
    <t xml:space="preserve">Kommt drauf an mit wem </t>
  </si>
  <si>
    <t>2026/04/21 11:18:44 AM OEZ</t>
  </si>
  <si>
    <t>2026/04/21 11:19:01 AM OEZ</t>
  </si>
  <si>
    <t xml:space="preserve">In der Stadt oder zuhause </t>
  </si>
  <si>
    <t>2026/04/21 11:21:19 AM OEZ</t>
  </si>
  <si>
    <t>treffen, unterschiedlich (alles)</t>
  </si>
  <si>
    <t>2026/04/21 11:22:36 AM OEZ</t>
  </si>
  <si>
    <t>sport,mit freunden treffen</t>
  </si>
  <si>
    <t>2026/04/21 11:23:21 AM OEZ</t>
  </si>
  <si>
    <t>2026/04/21 11:28:35 AM OEZ</t>
  </si>
  <si>
    <t>sport (fuÃŸball) mit Freunden</t>
  </si>
  <si>
    <t>fuÃŸball spielen/am Handy zocken</t>
  </si>
  <si>
    <t>2026/04/21 11:33:22 AM OEZ</t>
  </si>
  <si>
    <t>lesen</t>
  </si>
  <si>
    <t>2026/04/21 11:34:21 AM OEZ</t>
  </si>
  <si>
    <t>2026/04/21 11:42:31 AM OEZ</t>
  </si>
  <si>
    <t>2026/04/21 12:01:34 PM OEZ</t>
  </si>
  <si>
    <t>2026/04/21 12:22:44 PM OEZ</t>
  </si>
  <si>
    <t>2026/04/21 12:24:14 PM OEZ</t>
  </si>
  <si>
    <t>Miteinander reden</t>
  </si>
  <si>
    <t>2026/04/21 12:24:48 PM OEZ</t>
  </si>
  <si>
    <t>2026/04/21 12:27:49 PM OEZ</t>
  </si>
  <si>
    <t>AusflÃ¼ge, CafÃ©s</t>
  </si>
  <si>
    <t>2026/04/21 12:31:58 PM OEZ</t>
  </si>
  <si>
    <t>2026/04/21 12:32:40 PM OEZ</t>
  </si>
  <si>
    <t>2026/04/21 12:34:24 PM OEZ</t>
  </si>
  <si>
    <t>2026/04/21 12:38:37 PM OEZ</t>
  </si>
  <si>
    <t>2026/04/21 12:38:55 PM OEZ</t>
  </si>
  <si>
    <t>Gemischt, viel Lesen, Sport, chillen</t>
  </si>
  <si>
    <t>2026/04/21 12:39:22 PM OEZ</t>
  </si>
  <si>
    <t>Lesen</t>
  </si>
  <si>
    <t>2026/04/21 12:42:54 PM OEZ</t>
  </si>
  <si>
    <t>2026/04/21 12:46:11 PM OEZ</t>
  </si>
  <si>
    <t xml:space="preserve">Fahrradfahren, Joggen, Spiele spielen, Arbeiten </t>
  </si>
  <si>
    <t>2026/04/21 12:58:14 PM OEZ</t>
  </si>
  <si>
    <t>2026/04/21 1:03:22 PM OEZ</t>
  </si>
  <si>
    <t>Saufen</t>
  </si>
  <si>
    <t>2026/04/21 1:06:53 PM OEZ</t>
  </si>
  <si>
    <t>2026/04/21 1:07:15 PM OEZ</t>
  </si>
  <si>
    <t>mit Freunden und sport</t>
  </si>
  <si>
    <t>reden reden reden</t>
  </si>
  <si>
    <t>2026/04/21 1:07:39 PM OEZ</t>
  </si>
  <si>
    <t>Lesen, Abiuurvorbereitung</t>
  </si>
  <si>
    <t xml:space="preserve">Unterschiedlich mit verschiedenen Gruppen. </t>
  </si>
  <si>
    <t>2026/04/21 1:15:16 PM OEZ</t>
  </si>
  <si>
    <t>2026/04/21 1:16:24 PM OEZ</t>
  </si>
  <si>
    <t>Sowohl mit Freunden Treffen als auch Kreative TÃ¤tigkeiten und Computerspielen</t>
  </si>
  <si>
    <t>Halt Rausgehen oder zsm was spielen</t>
  </si>
  <si>
    <t>2026/04/21 1:19:56 PM OEZ</t>
  </si>
  <si>
    <t>2026/04/21 1:23:15 PM OEZ</t>
  </si>
  <si>
    <t>2026/04/21 1:28:52 PM OEZ</t>
  </si>
  <si>
    <t>2026/04/21 1:31:11 PM OEZ</t>
  </si>
  <si>
    <t>DrauÃŸen chillen</t>
  </si>
  <si>
    <t>2026/04/21 1:33:14 PM OEZ</t>
  </si>
  <si>
    <t>2026/04/21 1:35:49 PM OEZ</t>
  </si>
  <si>
    <t>2026/04/21 1:45:59 PM OEZ</t>
  </si>
  <si>
    <t>2026/04/21 1:47:55 PM OEZ</t>
  </si>
  <si>
    <t>2026/04/21 1:55:58 PM OEZ</t>
  </si>
  <si>
    <t>2026/04/21 1:59:28 PM OEZ</t>
  </si>
  <si>
    <t>Freunde, Familie, Sport</t>
  </si>
  <si>
    <t>Sport, Musik</t>
  </si>
  <si>
    <t>2026/04/21 2:03:08 PM OEZ</t>
  </si>
  <si>
    <t>2026/04/21 2:03:30 PM OEZ</t>
  </si>
  <si>
    <t>2026/04/21 2:06:19 PM OEZ</t>
  </si>
  <si>
    <t>2026/04/21 2:09:46 PM OEZ</t>
  </si>
  <si>
    <t>Konzerte spielen</t>
  </si>
  <si>
    <t>Essen</t>
  </si>
  <si>
    <t>2026/04/21 2:09:55 PM OEZ</t>
  </si>
  <si>
    <t>Internet</t>
  </si>
  <si>
    <t>2026/04/21 2:10:13 PM OEZ</t>
  </si>
  <si>
    <t>2026/04/21 2:14:52 PM OEZ</t>
  </si>
  <si>
    <t>2026/04/21 2:19:51 PM OEZ</t>
  </si>
  <si>
    <t>2026/04/21 2:20:27 PM OEZ</t>
  </si>
  <si>
    <t>2026/04/21 2:24:50 PM OEZ</t>
  </si>
  <si>
    <t>2026/04/21 2:28:28 PM OEZ</t>
  </si>
  <si>
    <t>2026/04/21 2:33:26 PM OEZ</t>
  </si>
  <si>
    <t>2026/04/21 2:36:58 PM OEZ</t>
  </si>
  <si>
    <t>MeiÃŸt irgendwas unternehmen in der Stadt</t>
  </si>
  <si>
    <t>2026/04/21 2:39:36 PM OEZ</t>
  </si>
  <si>
    <t>2026/04/21 2:39:38 PM OEZ</t>
  </si>
  <si>
    <t>Sport oder drauÃŸen chillen</t>
  </si>
  <si>
    <t>2026/04/21 2:40:53 PM OEZ</t>
  </si>
  <si>
    <t>Lernen</t>
  </si>
  <si>
    <t>2026/04/21 2:41:03 PM OEZ</t>
  </si>
  <si>
    <t>2026/04/21 2:41:06 PM OEZ</t>
  </si>
  <si>
    <t>2026/04/21 2:41:32 PM OEZ</t>
  </si>
  <si>
    <t>2026/04/21 2:42:09 PM OEZ</t>
  </si>
  <si>
    <t>2026/04/21 2:45:02 PM OEZ</t>
  </si>
  <si>
    <t>judo</t>
  </si>
  <si>
    <t>2026/04/21 2:45:19 PM OEZ</t>
  </si>
  <si>
    <t>Sigma</t>
  </si>
  <si>
    <t>2026/04/21 2:48:08 PM OEZ</t>
  </si>
  <si>
    <t>Spazieren gehen</t>
  </si>
  <si>
    <t>2026/04/21 2:51:07 PM OEZ</t>
  </si>
  <si>
    <t>2026/04/21 2:51:10 PM OEZ</t>
  </si>
  <si>
    <t>2026/04/21 2:52:05 PM OEZ</t>
  </si>
  <si>
    <t xml:space="preserve">Allgeimen kreative und neue dinge zum ausprobieren </t>
  </si>
  <si>
    <t>2026/04/21 2:52:25 PM OEZ</t>
  </si>
  <si>
    <t>Treffen halt kommt drauf an</t>
  </si>
  <si>
    <t>2026/04/21 2:52:42 PM OEZ</t>
  </si>
  <si>
    <t>andere</t>
  </si>
  <si>
    <t>2026/04/21 2:52:47 PM OEZ</t>
  </si>
  <si>
    <t>2026/04/21 2:52:48 PM OEZ</t>
  </si>
  <si>
    <t>Reden,Quatsch machen</t>
  </si>
  <si>
    <t>2026/04/21 2:53:08 PM OEZ</t>
  </si>
  <si>
    <t>19 - 25</t>
  </si>
  <si>
    <t xml:space="preserve">Ruhe und Pause </t>
  </si>
  <si>
    <t>2026/04/21 2:53:22 PM OEZ</t>
  </si>
  <si>
    <t>2026/04/21 2:54:22 PM OEZ</t>
  </si>
  <si>
    <t>2026/04/21 2:57:35 PM OEZ</t>
  </si>
  <si>
    <t>2026/04/21 2:58:37 PM OEZ</t>
  </si>
  <si>
    <t>2026/04/21 2:58:53 PM OEZ</t>
  </si>
  <si>
    <t>Handball spielen</t>
  </si>
  <si>
    <t>2026/04/21 2:58:58 PM OEZ</t>
  </si>
  <si>
    <t>2026/04/21 3:01:25 PM OEZ</t>
  </si>
  <si>
    <t>2026/04/21 3:05:16 PM OEZ</t>
  </si>
  <si>
    <t>2026/04/21 3:05:38 PM OEZ</t>
  </si>
  <si>
    <t>2026/04/21 3:06:48 PM OEZ</t>
  </si>
  <si>
    <t>2026/04/21 3:12:46 PM OEZ</t>
  </si>
  <si>
    <t xml:space="preserve">DemenzflÃ¶te trellern </t>
  </si>
  <si>
    <t>2026/04/21 3:15:31 PM OEZ</t>
  </si>
  <si>
    <t>2026/04/21 3:18:40 PM OEZ</t>
  </si>
  <si>
    <t>Hausaufgaben/lernen</t>
  </si>
  <si>
    <t>FuÃŸball spielen</t>
  </si>
  <si>
    <t>2026/04/21 3:18:59 PM OEZ</t>
  </si>
  <si>
    <t>2026/04/21 3:19:12 PM OEZ</t>
  </si>
  <si>
    <t>2026/04/21 3:25:34 PM OEZ</t>
  </si>
  <si>
    <t>Schlafen, lernen</t>
  </si>
  <si>
    <t>2026/04/21 3:26:16 PM OEZ</t>
  </si>
  <si>
    <t>2026/04/21 3:37:51 PM OEZ</t>
  </si>
  <si>
    <t>Wandern</t>
  </si>
  <si>
    <t>2026/04/21 3:41:03 PM OEZ</t>
  </si>
  <si>
    <t>2026/04/21 3:47:39 PM OEZ</t>
  </si>
  <si>
    <t>Computerspiele</t>
  </si>
  <si>
    <t>2026/04/21 3:54:24 PM OEZ</t>
  </si>
  <si>
    <t>2026/04/21 3:54:52 PM OEZ</t>
  </si>
  <si>
    <t>2026/04/21 3:55:07 PM OEZ</t>
  </si>
  <si>
    <t>2026/04/21 3:56:49 PM OEZ</t>
  </si>
  <si>
    <t xml:space="preserve">Chillen </t>
  </si>
  <si>
    <t>2026/04/21 4:08:15 PM OEZ</t>
  </si>
  <si>
    <t>2026/04/21 4:10:41 PM OEZ</t>
  </si>
  <si>
    <t xml:space="preserve">mit all diesen angegebenen Sachen oben </t>
  </si>
  <si>
    <t>2026/04/21 4:19:52 PM OEZ</t>
  </si>
  <si>
    <t>2026/04/21 4:26:54 PM OEZ</t>
  </si>
  <si>
    <t>raus gehen</t>
  </si>
  <si>
    <t>2026/04/21 4:34:36 PM OEZ</t>
  </si>
  <si>
    <t>Spielen</t>
  </si>
  <si>
    <t>2026/04/21 4:39:55 PM OEZ</t>
  </si>
  <si>
    <t>2026/04/21 4:48:03 PM OEZ</t>
  </si>
  <si>
    <t>Jugendfeuerwehr</t>
  </si>
  <si>
    <t>2026/04/21 4:53:35 PM OEZ</t>
  </si>
  <si>
    <t>Fahrrad fahren (mtb)</t>
  </si>
  <si>
    <t>2026/04/21 4:55:56 PM OEZ</t>
  </si>
  <si>
    <t>2026/04/21 4:57:33 PM OEZ</t>
  </si>
  <si>
    <t xml:space="preserve">drauÃŸen chillen </t>
  </si>
  <si>
    <t>2026/04/21 4:58:28 PM OEZ</t>
  </si>
  <si>
    <t>Dart</t>
  </si>
  <si>
    <t>2026/04/21 5:06:25 PM OEZ</t>
  </si>
  <si>
    <t>Gegen AfD protestieren</t>
  </si>
  <si>
    <t>2026/04/21 5:06:34 PM OEZ</t>
  </si>
  <si>
    <t>2026/04/21 5:16:57 PM OEZ</t>
  </si>
  <si>
    <t>2026/04/21 5:19:02 PM OEZ</t>
  </si>
  <si>
    <t>Vieles z.B Strand oder Sport</t>
  </si>
  <si>
    <t>2026/04/21 5:24:52 PM OEZ</t>
  </si>
  <si>
    <t>DrauÃŸen chillen ðŸ¤™ðŸ»</t>
  </si>
  <si>
    <t>2026/04/21 5:27:51 PM OEZ</t>
  </si>
  <si>
    <t>2026/04/21 5:32:10 PM OEZ</t>
  </si>
  <si>
    <t>Serien, YouTube schauen</t>
  </si>
  <si>
    <t>2026/04/21 5:33:55 PM OEZ</t>
  </si>
  <si>
    <t xml:space="preserve">Schule, FuÃŸball </t>
  </si>
  <si>
    <t>2026/04/21 5:34:32 PM OEZ</t>
  </si>
  <si>
    <t xml:space="preserve">Musik </t>
  </si>
  <si>
    <t>2026/04/21 5:47:27 PM OEZ</t>
  </si>
  <si>
    <t>Basketball/Volleyball</t>
  </si>
  <si>
    <t>2026/04/21 5:55:41 PM OEZ</t>
  </si>
  <si>
    <t>2026/04/21 5:58:48 PM OEZ</t>
  </si>
  <si>
    <t>alles</t>
  </si>
  <si>
    <t>spaÃŸ haben</t>
  </si>
  <si>
    <t>2026/04/21 6:01:51 PM OEZ</t>
  </si>
  <si>
    <t>eigentlich so Kino, Zocken, chillen, fussball spielen</t>
  </si>
  <si>
    <t>2026/04/21 6:03:00 PM OEZ</t>
  </si>
  <si>
    <t>2026/04/21 6:14:12 PM OEZ</t>
  </si>
  <si>
    <t>2026/04/21 6:17:03 PM OEZ</t>
  </si>
  <si>
    <t>2026/04/21 6:22:02 PM OEZ</t>
  </si>
  <si>
    <t>2026/04/21 6:34:35 PM OEZ</t>
  </si>
  <si>
    <t>2026/04/21 6:43:46 PM OEZ</t>
  </si>
  <si>
    <t>2026/04/21 6:46:39 PM OEZ</t>
  </si>
  <si>
    <t>Freunde treffen und Sport</t>
  </si>
  <si>
    <t>2026/04/21 6:47:58 PM OEZ</t>
  </si>
  <si>
    <t>2026/04/21 6:51:47 PM OEZ</t>
  </si>
  <si>
    <t>Alles mÃ¶gliche!</t>
  </si>
  <si>
    <t>2026/04/21 6:59:23 PM OEZ</t>
  </si>
  <si>
    <t xml:space="preserve">Wandern </t>
  </si>
  <si>
    <t>2026/04/21 7:00:21 PM OEZ</t>
  </si>
  <si>
    <t>2026/04/21 7:23:02 PM OEZ</t>
  </si>
  <si>
    <t>Biken</t>
  </si>
  <si>
    <t>2026/04/21 7:31:09 PM OEZ</t>
  </si>
  <si>
    <t>Freunde, Sport, Familie</t>
  </si>
  <si>
    <t>2026/04/21 7:41:12 PM OEZ</t>
  </si>
  <si>
    <t xml:space="preserve">Raus gehen </t>
  </si>
  <si>
    <t>2026/04/21 8:21:20 PM OEZ</t>
  </si>
  <si>
    <t>2026/04/21 8:23:14 PM OEZ</t>
  </si>
  <si>
    <t>2026/04/21 8:29:14 PM OEZ</t>
  </si>
  <si>
    <t>Allein</t>
  </si>
  <si>
    <t xml:space="preserve">Mach ich nicht </t>
  </si>
  <si>
    <t>2026/04/21 8:32:20 PM OEZ</t>
  </si>
  <si>
    <t>2026/04/21 8:49:40 PM OEZ</t>
  </si>
  <si>
    <t>2026/04/21 8:51:38 PM OEZ</t>
  </si>
  <si>
    <t>2026/04/21 9:06:38 PM OEZ</t>
  </si>
  <si>
    <t>2026/04/21 9:10:35 PM OEZ</t>
  </si>
  <si>
    <t>2026/04/21 9:16:13 PM OEZ</t>
  </si>
  <si>
    <t>2026/04/21 9:18:15 PM OEZ</t>
  </si>
  <si>
    <t>2026/04/21 9:22:18 PM OEZ</t>
  </si>
  <si>
    <t>schule, sport</t>
  </si>
  <si>
    <t>2026/04/21 9:41:40 PM OEZ</t>
  </si>
  <si>
    <t>2026/04/21 9:43:16 PM OEZ</t>
  </si>
  <si>
    <t>2026/04/21 9:55:03 PM OEZ</t>
  </si>
  <si>
    <t>2026/04/21 9:56:22 PM OEZ</t>
  </si>
  <si>
    <t>2026/04/21 10:02:00 PM OEZ</t>
  </si>
  <si>
    <t>2026/04/21 11:33:06 PM OEZ</t>
  </si>
  <si>
    <t>2026/04/22 6:22:03 AM OEZ</t>
  </si>
  <si>
    <t>2026/04/22 6:41:35 AM OEZ</t>
  </si>
  <si>
    <t>2026/04/22 6:48:25 AM OEZ</t>
  </si>
  <si>
    <t>2026/04/22 6:48:56 AM OEZ</t>
  </si>
  <si>
    <t>2026/04/22 7:05:05 AM OEZ</t>
  </si>
  <si>
    <t>2026/04/22 7:09:52 AM OEZ</t>
  </si>
  <si>
    <t xml:space="preserve">AktivitÃ¤ten unternehmen </t>
  </si>
  <si>
    <t>2026/04/22 7:11:19 AM OEZ</t>
  </si>
  <si>
    <t>Zocken ohne Ende</t>
  </si>
  <si>
    <t>2026/04/22 7:25:25 AM OEZ</t>
  </si>
  <si>
    <t>2026/04/22 7:37:08 AM OEZ</t>
  </si>
  <si>
    <t>Chillen</t>
  </si>
  <si>
    <t>2026/04/22 7:41:11 AM OEZ</t>
  </si>
  <si>
    <t>FuÃŸball und zocken</t>
  </si>
  <si>
    <t>2026/04/22 7:53:52 AM OEZ</t>
  </si>
  <si>
    <t>Alles von oben genannte</t>
  </si>
  <si>
    <t>2026/04/22 7:58:48 AM OEZ</t>
  </si>
  <si>
    <t>handball und zuhause chillen</t>
  </si>
  <si>
    <t>2026/04/22 8:42:40 AM OEZ</t>
  </si>
  <si>
    <t xml:space="preserve">DrauÃŸen </t>
  </si>
  <si>
    <t>2026/04/22 8:58:46 AM OEZ</t>
  </si>
  <si>
    <t>warum keine mehrfachauswahl bro</t>
  </si>
  <si>
    <t>Grammatik lÃ¤sst grÃ¼ÃŸen. ðŸ€</t>
  </si>
  <si>
    <t>2026/04/22 9:25:43 AM OEZ</t>
  </si>
  <si>
    <t>Spazieren</t>
  </si>
  <si>
    <t>2026/04/22 9:55:01 AM OEZ</t>
  </si>
  <si>
    <t>2026/04/22 10:02:44 AM OEZ</t>
  </si>
  <si>
    <t>Zocken, Lachen und SpaÃŸ haben</t>
  </si>
  <si>
    <t>2026/04/22 10:18:59 AM OEZ</t>
  </si>
  <si>
    <t>2026/04/22 10:29:10 AM OEZ</t>
  </si>
  <si>
    <t>Spazieren - sonstige OutdooraktivitÃ¤ten</t>
  </si>
  <si>
    <t>2026/04/22 10:37:15 AM OEZ</t>
  </si>
  <si>
    <t>2026/04/22 10:51:59 AM OEZ</t>
  </si>
  <si>
    <t xml:space="preserve">Umfragen haten </t>
  </si>
  <si>
    <t>2026/04/22 10:52:55 AM OEZ</t>
  </si>
  <si>
    <t xml:space="preserve">Zeit drauÃŸen verbringen </t>
  </si>
  <si>
    <t>2026/04/22 11:00:16 AM OEZ</t>
  </si>
  <si>
    <t>2026/04/22 11:19:12 AM OEZ</t>
  </si>
  <si>
    <t>2026/04/22 12:44:28 PM OEZ</t>
  </si>
  <si>
    <t>Zocken</t>
  </si>
  <si>
    <t>2026/04/22 12:52:23 PM OEZ</t>
  </si>
  <si>
    <t xml:space="preserve">DrauÃŸen treffen </t>
  </si>
  <si>
    <t>2026/04/22 1:09:58 PM OEZ</t>
  </si>
  <si>
    <t>2026/04/22 1:16:26 PM OEZ</t>
  </si>
  <si>
    <t>2026/04/22 1:20:50 PM OEZ</t>
  </si>
  <si>
    <t>ich gehe gerne ins casino</t>
  </si>
  <si>
    <t>an den slot automaten rumlungtern und pokern mit cent stÃ¼cken</t>
  </si>
  <si>
    <t>2026/04/22 2:46:42 PM OEZ</t>
  </si>
  <si>
    <t>2026/04/22 2:52:36 PM OEZ</t>
  </si>
  <si>
    <t>2026/04/22 2:55:23 PM OEZ</t>
  </si>
  <si>
    <t>Kreativ, Sport, lesen</t>
  </si>
  <si>
    <t>2026/04/22 2:59:04 PM OEZ</t>
  </si>
  <si>
    <t>2026/04/22 3:03:07 PM OEZ</t>
  </si>
  <si>
    <t>2026/04/22 3:12:59 PM OEZ</t>
  </si>
  <si>
    <t>2026/04/22 3:17:10 PM OEZ</t>
  </si>
  <si>
    <t>2026/04/22 3:19:59 PM OEZ</t>
  </si>
  <si>
    <t>2026/04/22 3:21:23 PM OEZ</t>
  </si>
  <si>
    <t>2026/04/22 3:26:40 PM OEZ</t>
  </si>
  <si>
    <t>2026/04/22 3:28:04 PM OEZ</t>
  </si>
  <si>
    <t>2026/04/22 3:33:06 PM OEZ</t>
  </si>
  <si>
    <t>Sport, kreativ, freunde und haustiere</t>
  </si>
  <si>
    <t>2026/04/22 4:07:06 PM OEZ</t>
  </si>
  <si>
    <t>Skatepark oder so</t>
  </si>
  <si>
    <t>2026/04/22 4:10:48 PM OEZ</t>
  </si>
  <si>
    <t>2026/04/22 4:11:12 PM OEZ</t>
  </si>
  <si>
    <t>2026/04/22 4:21:10 PM OEZ</t>
  </si>
  <si>
    <t xml:space="preserve">Alle oben genannten </t>
  </si>
  <si>
    <t>2026/04/22 4:29:47 PM OEZ</t>
  </si>
  <si>
    <t>2026/04/22 4:35:33 PM OEZ</t>
  </si>
  <si>
    <t>2026/04/22 4:41:31 PM OEZ</t>
  </si>
  <si>
    <t>2026/04/22 4:42:30 PM OEZ</t>
  </si>
  <si>
    <t>Chillen und shoppen</t>
  </si>
  <si>
    <t>2026/04/22 4:49:54 PM OEZ</t>
  </si>
  <si>
    <t>Sport, Freunde und Familie</t>
  </si>
  <si>
    <t>Sport, zusammen drauÃŸen sein</t>
  </si>
  <si>
    <t>2026/04/22 5:00:56 PM OEZ</t>
  </si>
  <si>
    <t>2026/04/22 6:41:09 PM OEZ</t>
  </si>
  <si>
    <t>spielen</t>
  </si>
  <si>
    <t>2026/04/22 6:52:51 PM OEZ</t>
  </si>
  <si>
    <t>2026/04/22 6:56:02 PM OEZ</t>
  </si>
  <si>
    <t>2026/04/22 6:56:16 PM OEZ</t>
  </si>
  <si>
    <t>2026/04/22 7:01:11 PM OEZ</t>
  </si>
  <si>
    <t>2026/04/22 7:29:42 PM OEZ</t>
  </si>
  <si>
    <t>2026/04/22 7:40:51 PM OEZ</t>
  </si>
  <si>
    <t>2026/04/22 7:48:34 PM OEZ</t>
  </si>
  <si>
    <t xml:space="preserve">Sport </t>
  </si>
  <si>
    <t>2026/04/22 7:51:30 PM OEZ</t>
  </si>
  <si>
    <t>2026/04/22 8:07:47 PM OEZ</t>
  </si>
  <si>
    <t>Musik machen</t>
  </si>
  <si>
    <t>2026/04/22 8:57:26 PM OEZ</t>
  </si>
  <si>
    <t>Lesen und sport</t>
  </si>
  <si>
    <t>2026/04/22 9:05:11 PM OEZ</t>
  </si>
  <si>
    <t>2026/04/22 10:31:13 PM OEZ</t>
  </si>
  <si>
    <t>2026/04/22 10:31:35 PM OEZ</t>
  </si>
  <si>
    <t>in die stadt gehen</t>
  </si>
  <si>
    <t>2026/04/22 11:02:50 PM OEZ</t>
  </si>
  <si>
    <t>2026/04/23 1:11:44 AM OEZ</t>
  </si>
  <si>
    <t>2026/04/23 6:48:45 AM OEZ</t>
  </si>
  <si>
    <t>2026/04/23 7:17:02 AM OEZ</t>
  </si>
  <si>
    <t>Student</t>
  </si>
  <si>
    <t>Brawlstars spielen, Goonen auf brawler</t>
  </si>
  <si>
    <t>2026/04/23 7:23:00 AM OEZ</t>
  </si>
  <si>
    <t>2026/04/23 7:23:02 AM OEZ</t>
  </si>
  <si>
    <t>2026/04/23 9:16:50 AM OEZ</t>
  </si>
  <si>
    <t>Geoguessr, Sport</t>
  </si>
  <si>
    <t>Essen, Carspotting, Geoguessr</t>
  </si>
  <si>
    <t>2026/04/23 10:18:57 AM OEZ</t>
  </si>
  <si>
    <t>2026/04/23 2:55:56 PM OEZ</t>
  </si>
  <si>
    <t>2026/04/23 3:19:24 PM OEZ</t>
  </si>
  <si>
    <t>Sport chillen</t>
  </si>
  <si>
    <t>2026/04/23 3:22:29 PM OEZ</t>
  </si>
  <si>
    <t>FuÃŸball auf rostocker spielen</t>
  </si>
  <si>
    <t>2026/04/23 4:55:54 PM OEZ</t>
  </si>
  <si>
    <t xml:space="preserve">Party </t>
  </si>
  <si>
    <t xml:space="preserve">Alle ein bisschen </t>
  </si>
  <si>
    <t>Unterschiedlich</t>
  </si>
  <si>
    <t>2026/04/23 5:17:30 PM OEZ</t>
  </si>
  <si>
    <t>Sport machen UND zu Hause chillen/treffen</t>
  </si>
  <si>
    <t>2026/04/23 5:56:07 PM OEZ</t>
  </si>
  <si>
    <t>Machmal schaue ich film manchmal treffe ich mich mit freunden und machmal gehe ich raus in den garten</t>
  </si>
  <si>
    <t>Zuhause chillen, rausgehen und shoppen</t>
  </si>
  <si>
    <t>2026/04/23 8:42:16 PM OEZ</t>
  </si>
  <si>
    <t>Drausen sein</t>
  </si>
  <si>
    <t>2026/04/23 9:40:42 PM OEZ</t>
  </si>
  <si>
    <t>2026/04/24 8:06:22 AM OESZ</t>
  </si>
  <si>
    <t>Volleyball spielen</t>
  </si>
  <si>
    <t>2026/04/24 9:09:30 AM OESZ</t>
  </si>
  <si>
    <t>Kreative sachen</t>
  </si>
  <si>
    <t>2026/04/24 9:10:04 AM OESZ</t>
  </si>
  <si>
    <t>Kreative Sachen</t>
  </si>
  <si>
    <t>2026/04/24 12:32:04 PM OESZ</t>
  </si>
  <si>
    <t>2026/04/24 2:57:37 PM OESZ</t>
  </si>
  <si>
    <t>Zusammen ander Bushaltestelle chillen</t>
  </si>
  <si>
    <t>2026/04/24 4:09:25 PM OESZ</t>
  </si>
  <si>
    <t xml:space="preserve">DrauÃŸen Chillen </t>
  </si>
  <si>
    <t>2026/04/24 8:10:29 PM OESZ</t>
  </si>
  <si>
    <t>2026/04/24 10:08:09 PM OESZ</t>
  </si>
  <si>
    <t>2026/04/25 9:46:13 AM OESZ</t>
  </si>
  <si>
    <t>2026/04/25 10:35:09 AM OESZ</t>
  </si>
  <si>
    <t xml:space="preserve">Gaming, kreative TÃ¤tigkeiten </t>
  </si>
  <si>
    <t>2026/04/25 11:17:31 AM OESZ</t>
  </si>
  <si>
    <t>2026/04/25 11:50:08 AM OESZ</t>
  </si>
  <si>
    <t>2026/04/25 12:20:31 PM OESZ</t>
  </si>
  <si>
    <t>drauÃŸen sein</t>
  </si>
  <si>
    <t>2026/04/25 11:46:15 PM OESZ</t>
  </si>
  <si>
    <t>2026/04/26 11:51:47 AM OESZ</t>
  </si>
  <si>
    <t>2026/04/26 12:34:15 PM OESZ</t>
  </si>
  <si>
    <t>2026/04/26 4:01:41 PM OESZ</t>
  </si>
  <si>
    <t>mit der bahn durch dresden fahren und dÃ¶ner essen</t>
  </si>
  <si>
    <t>2026/04/26 7:16:32 PM OESZ</t>
  </si>
  <si>
    <t xml:space="preserve">treffen halt </t>
  </si>
  <si>
    <t>2026/04/26 8:19:54 PM OESZ</t>
  </si>
  <si>
    <t>2026/04/26 8:22:49 PM OESZ</t>
  </si>
  <si>
    <t>Lesen, Netflix, Handy</t>
  </si>
  <si>
    <t>2026/04/27 10:23:59 AM OESZ</t>
  </si>
  <si>
    <t>freunde, sport und fÃ¼r mich selber</t>
  </si>
  <si>
    <t>wie man bock hat</t>
  </si>
  <si>
    <t>2026/04/27 4:50:02 PM OESZ</t>
  </si>
  <si>
    <t>vidieos gucken, sport machen...</t>
  </si>
  <si>
    <t>2026/04/27 5:26:54 PM OESZ</t>
  </si>
  <si>
    <t>2026/04/27 6:48:46 PM OESZ</t>
  </si>
  <si>
    <t>Klavierspielen</t>
  </si>
  <si>
    <t>2026/04/27 6:58:41 PM OESZ</t>
  </si>
  <si>
    <t>Alles der Kategorien und Handy</t>
  </si>
  <si>
    <t>Zu hause Chilen und Zocken</t>
  </si>
  <si>
    <t>2026/04/27 10:24:03 PM OESZ</t>
  </si>
  <si>
    <t>2026/04/28 8:23:50 AM OESZ</t>
  </si>
  <si>
    <t>Lego</t>
  </si>
  <si>
    <t>2026/04/28 6:56:33 PM OESZ</t>
  </si>
  <si>
    <t>Alles davon! ðŸ˜‰</t>
  </si>
  <si>
    <t xml:space="preserve">FuÃŸball spielen </t>
  </si>
  <si>
    <t>2026/04/28 7:25:22 PM OESZ</t>
  </si>
  <si>
    <t>2026/04/28 8:02:15 PM OESZ</t>
  </si>
  <si>
    <t>2026/04/29 6:56:05 PM OESZ</t>
  </si>
  <si>
    <t>Reiten/im Stall generell</t>
  </si>
  <si>
    <t>2026/04/29 7:09:15 PM OESZ</t>
  </si>
  <si>
    <t>Minecraft zocken</t>
  </si>
  <si>
    <t>2026/04/29 7:13:32 PM OESZ</t>
  </si>
  <si>
    <t>2026/04/29 7:25:18 PM OESZ</t>
  </si>
  <si>
    <t>Schule</t>
  </si>
  <si>
    <t>2026/04/30 9:07:21 AM OESZ</t>
  </si>
  <si>
    <t>2026/05/01 11:53:02 AM OESZ</t>
  </si>
  <si>
    <t xml:space="preserve">fuÃŸball spielen </t>
  </si>
  <si>
    <t>2026/05/03 11:42:52 AM OESZ</t>
  </si>
  <si>
    <t>Ã¼ber das kommunistische manifest von Marx und Engels diskutieren</t>
  </si>
  <si>
    <t>2026/05/03 3:20:44 PM OESZ</t>
  </si>
  <si>
    <t>was anderes</t>
  </si>
  <si>
    <t>2026/05/04 7:05:50 PM OESZ</t>
  </si>
  <si>
    <t>alles mÃ¶gliche</t>
  </si>
  <si>
    <t>2026/05/04 9:27:06 PM OESZ</t>
  </si>
  <si>
    <t>Ich verbringe meine Zeit mit Videospiele, meine Familie und Kreative TÃ¤tigkeiten</t>
  </si>
  <si>
    <t>2026/05/05 4:39:56 PM OESZ</t>
  </si>
  <si>
    <t xml:space="preserve">Spiele </t>
  </si>
  <si>
    <t>2026/05/08 5:47:29 PM OESZ</t>
  </si>
  <si>
    <t xml:space="preserve">Mit Freunde und Familie </t>
  </si>
  <si>
    <t xml:space="preserve">Abenteuer entdecken  </t>
  </si>
  <si>
    <t>2026/05/09 3:53:36 PM OESZ</t>
  </si>
  <si>
    <t>2026/05/09 4:16:50 PM OESZ</t>
  </si>
  <si>
    <t>2026/05/10 9:12:00 AM OESZ</t>
  </si>
  <si>
    <t>2026/05/10 9:12:33 AM OESZ</t>
  </si>
  <si>
    <t>2026/05/11 6:30:03 PM OESZ</t>
  </si>
  <si>
    <t>2026/05/13 9:03:50 AM OESZ</t>
  </si>
  <si>
    <t>Backen... KATASTROPHE</t>
  </si>
  <si>
    <t>2026/05/13 7:18:52 PM OESZ</t>
  </si>
  <si>
    <t>Volleyball spielen und manchmal zocken</t>
  </si>
  <si>
    <t>Altergruppe</t>
  </si>
  <si>
    <t>Geschlecht</t>
  </si>
  <si>
    <t>Freizeitstunden</t>
  </si>
  <si>
    <t>Alterzufall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</si>
</sst>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10F4E-D686-4566-9094-C9C8B5051159}">
  <dimension ref="A1:M332"/>
  <sheetViews>
    <sheetView tabSelected="1" workbookViewId="0">
      <selection activeCell="L329" sqref="L329"/>
    </sheetView>
  </sheetViews>
  <sheetFormatPr baseColWidth="10" defaultRowHeight="15" x14ac:dyDescent="0.25"/>
  <cols>
    <col min="1" max="1" width="26.42578125" bestFit="1" customWidth="1"/>
    <col min="2" max="2" width="15.28515625" bestFit="1" customWidth="1"/>
    <col min="3" max="3" width="15.28515625" hidden="1" customWidth="1"/>
    <col min="4" max="4" width="15.28515625" customWidth="1"/>
    <col min="5" max="5" width="24.7109375" bestFit="1" customWidth="1"/>
    <col min="6" max="6" width="42.28515625" bestFit="1" customWidth="1"/>
    <col min="7" max="7" width="10.7109375" hidden="1" customWidth="1"/>
    <col min="8" max="8" width="40.5703125" bestFit="1" customWidth="1"/>
    <col min="9" max="9" width="96.5703125" bestFit="1" customWidth="1"/>
    <col min="10" max="10" width="36.7109375" bestFit="1" customWidth="1"/>
    <col min="11" max="11" width="36.7109375" customWidth="1"/>
    <col min="12" max="12" width="63.42578125" bestFit="1" customWidth="1"/>
    <col min="13" max="13" width="65.28515625" bestFit="1" customWidth="1"/>
  </cols>
  <sheetData>
    <row r="1" spans="1:13" x14ac:dyDescent="0.25">
      <c r="A1" t="s">
        <v>0</v>
      </c>
      <c r="B1" t="s">
        <v>1</v>
      </c>
      <c r="C1" t="s">
        <v>520</v>
      </c>
      <c r="D1" t="s">
        <v>523</v>
      </c>
      <c r="E1" t="s">
        <v>2</v>
      </c>
      <c r="F1" t="s">
        <v>3</v>
      </c>
      <c r="G1" t="s">
        <v>521</v>
      </c>
      <c r="H1" t="s">
        <v>4</v>
      </c>
      <c r="I1" t="s">
        <v>5</v>
      </c>
      <c r="J1" t="s">
        <v>6</v>
      </c>
      <c r="K1" t="s">
        <v>522</v>
      </c>
      <c r="L1" t="s">
        <v>7</v>
      </c>
      <c r="M1" t="s">
        <v>8</v>
      </c>
    </row>
    <row r="2" spans="1:13" x14ac:dyDescent="0.25">
      <c r="A2" t="s">
        <v>9</v>
      </c>
      <c r="B2" t="s">
        <v>10</v>
      </c>
      <c r="C2" t="e">
        <f>VLOOKUP(B2,#REF!,2,FALSE)</f>
        <v>#REF!</v>
      </c>
      <c r="D2">
        <v>18</v>
      </c>
      <c r="E2" t="s">
        <v>11</v>
      </c>
      <c r="F2" t="s">
        <v>12</v>
      </c>
      <c r="G2">
        <f>IF(EXACT(F2,"Weiblich"),2,1)</f>
        <v>1</v>
      </c>
      <c r="H2" t="s">
        <v>13</v>
      </c>
      <c r="I2" t="s">
        <v>14</v>
      </c>
      <c r="J2" t="s">
        <v>15</v>
      </c>
      <c r="K2">
        <v>5</v>
      </c>
      <c r="L2" t="s">
        <v>16</v>
      </c>
      <c r="M2" t="s">
        <v>17</v>
      </c>
    </row>
    <row r="3" spans="1:13" x14ac:dyDescent="0.25">
      <c r="A3" t="s">
        <v>18</v>
      </c>
      <c r="B3" t="s">
        <v>10</v>
      </c>
      <c r="C3" t="e">
        <f>VLOOKUP(B3,#REF!,2,FALSE)</f>
        <v>#REF!</v>
      </c>
      <c r="D3">
        <v>18</v>
      </c>
      <c r="E3" t="s">
        <v>11</v>
      </c>
      <c r="F3" t="s">
        <v>12</v>
      </c>
      <c r="G3">
        <f t="shared" ref="G3:G66" si="0">IF(EXACT(F3,"Weiblich"),2,1)</f>
        <v>1</v>
      </c>
      <c r="H3" t="s">
        <v>13</v>
      </c>
      <c r="I3" t="s">
        <v>19</v>
      </c>
      <c r="J3" t="s">
        <v>15</v>
      </c>
      <c r="K3" t="e">
        <f>VLOOKUP(J3,#REF!,2,FALSE)</f>
        <v>#REF!</v>
      </c>
      <c r="L3" t="s">
        <v>16</v>
      </c>
      <c r="M3" t="s">
        <v>17</v>
      </c>
    </row>
    <row r="4" spans="1:13" x14ac:dyDescent="0.25">
      <c r="A4" t="s">
        <v>20</v>
      </c>
      <c r="B4" t="s">
        <v>21</v>
      </c>
      <c r="C4" t="e">
        <f>VLOOKUP(B4,#REF!,2,FALSE)</f>
        <v>#REF!</v>
      </c>
      <c r="D4">
        <v>11</v>
      </c>
      <c r="E4" t="s">
        <v>11</v>
      </c>
      <c r="F4" t="s">
        <v>22</v>
      </c>
      <c r="G4">
        <f t="shared" si="0"/>
        <v>2</v>
      </c>
      <c r="H4" t="s">
        <v>23</v>
      </c>
      <c r="I4" t="s">
        <v>19</v>
      </c>
      <c r="J4" t="s">
        <v>24</v>
      </c>
      <c r="K4" t="e">
        <f>VLOOKUP(J4,#REF!,2,FALSE)</f>
        <v>#REF!</v>
      </c>
      <c r="L4" t="s">
        <v>25</v>
      </c>
      <c r="M4" t="s">
        <v>26</v>
      </c>
    </row>
    <row r="5" spans="1:13" x14ac:dyDescent="0.25">
      <c r="A5" t="s">
        <v>27</v>
      </c>
      <c r="B5" t="s">
        <v>10</v>
      </c>
      <c r="C5" t="e">
        <f>VLOOKUP(B5,#REF!,2,FALSE)</f>
        <v>#REF!</v>
      </c>
      <c r="D5">
        <v>15</v>
      </c>
      <c r="E5" t="s">
        <v>11</v>
      </c>
      <c r="F5" t="s">
        <v>12</v>
      </c>
      <c r="G5">
        <f t="shared" si="0"/>
        <v>1</v>
      </c>
      <c r="H5" t="s">
        <v>13</v>
      </c>
      <c r="I5" t="s">
        <v>19</v>
      </c>
      <c r="J5" t="s">
        <v>24</v>
      </c>
      <c r="K5" t="e">
        <f>VLOOKUP(J5,#REF!,2,FALSE)</f>
        <v>#REF!</v>
      </c>
      <c r="L5" t="s">
        <v>28</v>
      </c>
      <c r="M5" t="s">
        <v>17</v>
      </c>
    </row>
    <row r="6" spans="1:13" x14ac:dyDescent="0.25">
      <c r="A6" t="s">
        <v>29</v>
      </c>
      <c r="B6" t="s">
        <v>10</v>
      </c>
      <c r="C6" t="e">
        <f>VLOOKUP(B6,#REF!,2,FALSE)</f>
        <v>#REF!</v>
      </c>
      <c r="D6">
        <v>17</v>
      </c>
      <c r="E6" t="s">
        <v>11</v>
      </c>
      <c r="F6" t="s">
        <v>22</v>
      </c>
      <c r="G6">
        <f t="shared" si="0"/>
        <v>2</v>
      </c>
      <c r="H6" t="s">
        <v>23</v>
      </c>
      <c r="I6" t="s">
        <v>30</v>
      </c>
      <c r="J6" t="s">
        <v>24</v>
      </c>
      <c r="K6" t="e">
        <f>VLOOKUP(J6,#REF!,2,FALSE)</f>
        <v>#REF!</v>
      </c>
      <c r="L6" t="s">
        <v>16</v>
      </c>
      <c r="M6" t="s">
        <v>26</v>
      </c>
    </row>
    <row r="7" spans="1:13" x14ac:dyDescent="0.25">
      <c r="A7" t="s">
        <v>31</v>
      </c>
      <c r="B7" t="s">
        <v>10</v>
      </c>
      <c r="C7" t="e">
        <f>VLOOKUP(B7,#REF!,2,FALSE)</f>
        <v>#REF!</v>
      </c>
      <c r="D7">
        <v>16</v>
      </c>
      <c r="E7" t="s">
        <v>11</v>
      </c>
      <c r="F7" t="s">
        <v>12</v>
      </c>
      <c r="G7">
        <f t="shared" si="0"/>
        <v>1</v>
      </c>
      <c r="H7" t="s">
        <v>13</v>
      </c>
      <c r="I7" t="s">
        <v>14</v>
      </c>
      <c r="J7" t="s">
        <v>24</v>
      </c>
      <c r="K7" t="e">
        <f>VLOOKUP(J7,#REF!,2,FALSE)</f>
        <v>#REF!</v>
      </c>
      <c r="L7" t="s">
        <v>16</v>
      </c>
      <c r="M7" t="s">
        <v>17</v>
      </c>
    </row>
    <row r="8" spans="1:13" x14ac:dyDescent="0.25">
      <c r="A8" t="s">
        <v>32</v>
      </c>
      <c r="B8" t="s">
        <v>10</v>
      </c>
      <c r="C8" t="e">
        <f>VLOOKUP(B8,#REF!,2,FALSE)</f>
        <v>#REF!</v>
      </c>
      <c r="D8">
        <v>18</v>
      </c>
      <c r="E8" t="s">
        <v>11</v>
      </c>
      <c r="F8" t="s">
        <v>12</v>
      </c>
      <c r="G8">
        <f t="shared" si="0"/>
        <v>1</v>
      </c>
      <c r="H8" t="s">
        <v>13</v>
      </c>
      <c r="I8" t="s">
        <v>19</v>
      </c>
      <c r="J8" t="s">
        <v>24</v>
      </c>
      <c r="K8" t="e">
        <f>VLOOKUP(J8,#REF!,2,FALSE)</f>
        <v>#REF!</v>
      </c>
      <c r="L8" t="s">
        <v>16</v>
      </c>
      <c r="M8" t="s">
        <v>17</v>
      </c>
    </row>
    <row r="9" spans="1:13" x14ac:dyDescent="0.25">
      <c r="A9" t="s">
        <v>33</v>
      </c>
      <c r="B9" t="s">
        <v>21</v>
      </c>
      <c r="C9" t="e">
        <f>VLOOKUP(B9,#REF!,2,FALSE)</f>
        <v>#REF!</v>
      </c>
      <c r="D9">
        <v>14</v>
      </c>
      <c r="E9" t="s">
        <v>11</v>
      </c>
      <c r="F9" t="s">
        <v>12</v>
      </c>
      <c r="G9">
        <f t="shared" si="0"/>
        <v>1</v>
      </c>
      <c r="H9" t="s">
        <v>13</v>
      </c>
      <c r="I9" t="s">
        <v>14</v>
      </c>
      <c r="J9" t="s">
        <v>24</v>
      </c>
      <c r="K9" t="e">
        <f>VLOOKUP(J9,#REF!,2,FALSE)</f>
        <v>#REF!</v>
      </c>
      <c r="L9" t="s">
        <v>34</v>
      </c>
      <c r="M9" t="s">
        <v>26</v>
      </c>
    </row>
    <row r="10" spans="1:13" x14ac:dyDescent="0.25">
      <c r="A10" t="s">
        <v>35</v>
      </c>
      <c r="B10" t="s">
        <v>21</v>
      </c>
      <c r="C10" t="e">
        <f>VLOOKUP(B10,#REF!,2,FALSE)</f>
        <v>#REF!</v>
      </c>
      <c r="D10">
        <v>13</v>
      </c>
      <c r="E10" t="s">
        <v>11</v>
      </c>
      <c r="F10" t="s">
        <v>22</v>
      </c>
      <c r="G10">
        <f t="shared" si="0"/>
        <v>2</v>
      </c>
      <c r="H10" t="s">
        <v>13</v>
      </c>
      <c r="I10" t="s">
        <v>14</v>
      </c>
      <c r="J10" t="s">
        <v>24</v>
      </c>
      <c r="K10" t="e">
        <f>VLOOKUP(J10,#REF!,2,FALSE)</f>
        <v>#REF!</v>
      </c>
      <c r="L10" t="s">
        <v>16</v>
      </c>
      <c r="M10" t="s">
        <v>26</v>
      </c>
    </row>
    <row r="11" spans="1:13" x14ac:dyDescent="0.25">
      <c r="A11" t="s">
        <v>36</v>
      </c>
      <c r="B11" t="s">
        <v>21</v>
      </c>
      <c r="C11" t="e">
        <f>VLOOKUP(B11,#REF!,2,FALSE)</f>
        <v>#REF!</v>
      </c>
      <c r="D11">
        <v>12</v>
      </c>
      <c r="E11" t="s">
        <v>11</v>
      </c>
      <c r="F11" t="s">
        <v>22</v>
      </c>
      <c r="G11">
        <f t="shared" si="0"/>
        <v>2</v>
      </c>
      <c r="H11" t="s">
        <v>13</v>
      </c>
      <c r="I11" t="s">
        <v>19</v>
      </c>
      <c r="J11" t="s">
        <v>24</v>
      </c>
      <c r="K11" t="e">
        <f>VLOOKUP(J11,#REF!,2,FALSE)</f>
        <v>#REF!</v>
      </c>
      <c r="L11" t="s">
        <v>16</v>
      </c>
      <c r="M11" t="s">
        <v>17</v>
      </c>
    </row>
    <row r="12" spans="1:13" x14ac:dyDescent="0.25">
      <c r="A12" t="s">
        <v>37</v>
      </c>
      <c r="B12" t="s">
        <v>10</v>
      </c>
      <c r="C12" t="e">
        <f>VLOOKUP(B12,#REF!,2,FALSE)</f>
        <v>#REF!</v>
      </c>
      <c r="D12">
        <v>16</v>
      </c>
      <c r="E12" t="s">
        <v>11</v>
      </c>
      <c r="F12" t="s">
        <v>12</v>
      </c>
      <c r="G12">
        <f t="shared" si="0"/>
        <v>1</v>
      </c>
      <c r="H12" t="s">
        <v>13</v>
      </c>
      <c r="I12" t="s">
        <v>14</v>
      </c>
      <c r="J12" t="s">
        <v>15</v>
      </c>
      <c r="K12" t="e">
        <f>VLOOKUP(J12,#REF!,2,FALSE)</f>
        <v>#REF!</v>
      </c>
      <c r="L12" t="s">
        <v>38</v>
      </c>
      <c r="M12" t="s">
        <v>26</v>
      </c>
    </row>
    <row r="13" spans="1:13" x14ac:dyDescent="0.25">
      <c r="A13" t="s">
        <v>39</v>
      </c>
      <c r="B13" t="s">
        <v>40</v>
      </c>
      <c r="C13" t="e">
        <f>VLOOKUP(B13,#REF!,2,FALSE)</f>
        <v>#REF!</v>
      </c>
      <c r="D13">
        <v>59</v>
      </c>
      <c r="E13" t="s">
        <v>41</v>
      </c>
      <c r="F13" t="s">
        <v>22</v>
      </c>
      <c r="G13">
        <f t="shared" si="0"/>
        <v>2</v>
      </c>
      <c r="H13" t="s">
        <v>13</v>
      </c>
      <c r="I13" t="s">
        <v>42</v>
      </c>
      <c r="J13" t="s">
        <v>43</v>
      </c>
      <c r="K13" t="e">
        <f>VLOOKUP(J13,#REF!,2,FALSE)</f>
        <v>#REF!</v>
      </c>
      <c r="L13" t="s">
        <v>44</v>
      </c>
      <c r="M13" t="s">
        <v>17</v>
      </c>
    </row>
    <row r="14" spans="1:13" x14ac:dyDescent="0.25">
      <c r="A14" t="s">
        <v>45</v>
      </c>
      <c r="B14" t="s">
        <v>10</v>
      </c>
      <c r="C14" t="e">
        <f>VLOOKUP(B14,#REF!,2,FALSE)</f>
        <v>#REF!</v>
      </c>
      <c r="D14">
        <v>16</v>
      </c>
      <c r="E14" t="s">
        <v>11</v>
      </c>
      <c r="F14" t="s">
        <v>22</v>
      </c>
      <c r="G14">
        <f t="shared" si="0"/>
        <v>2</v>
      </c>
      <c r="H14" t="s">
        <v>23</v>
      </c>
      <c r="I14" t="s">
        <v>30</v>
      </c>
      <c r="J14" t="s">
        <v>24</v>
      </c>
      <c r="K14" t="e">
        <f>VLOOKUP(J14,#REF!,2,FALSE)</f>
        <v>#REF!</v>
      </c>
      <c r="L14" t="s">
        <v>16</v>
      </c>
      <c r="M14" t="s">
        <v>26</v>
      </c>
    </row>
    <row r="15" spans="1:13" x14ac:dyDescent="0.25">
      <c r="A15" t="s">
        <v>46</v>
      </c>
      <c r="B15" t="s">
        <v>10</v>
      </c>
      <c r="C15" t="e">
        <f>VLOOKUP(B15,#REF!,2,FALSE)</f>
        <v>#REF!</v>
      </c>
      <c r="D15">
        <v>16</v>
      </c>
      <c r="E15" t="s">
        <v>11</v>
      </c>
      <c r="F15" t="s">
        <v>22</v>
      </c>
      <c r="G15">
        <f t="shared" si="0"/>
        <v>2</v>
      </c>
      <c r="H15" t="s">
        <v>13</v>
      </c>
      <c r="I15" t="s">
        <v>19</v>
      </c>
      <c r="J15" t="s">
        <v>47</v>
      </c>
      <c r="K15" t="e">
        <f>VLOOKUP(J15,#REF!,2,FALSE)</f>
        <v>#REF!</v>
      </c>
      <c r="L15" t="s">
        <v>48</v>
      </c>
      <c r="M15" t="s">
        <v>17</v>
      </c>
    </row>
    <row r="16" spans="1:13" x14ac:dyDescent="0.25">
      <c r="A16" t="s">
        <v>49</v>
      </c>
      <c r="B16" t="s">
        <v>40</v>
      </c>
      <c r="C16" t="e">
        <f>VLOOKUP(B16,#REF!,2,FALSE)</f>
        <v>#REF!</v>
      </c>
      <c r="D16">
        <v>62</v>
      </c>
      <c r="E16" t="s">
        <v>41</v>
      </c>
      <c r="F16" t="s">
        <v>12</v>
      </c>
      <c r="G16">
        <f t="shared" si="0"/>
        <v>1</v>
      </c>
      <c r="H16" t="s">
        <v>13</v>
      </c>
      <c r="I16" t="s">
        <v>42</v>
      </c>
      <c r="J16" t="s">
        <v>43</v>
      </c>
      <c r="K16" t="e">
        <f>VLOOKUP(J16,#REF!,2,FALSE)</f>
        <v>#REF!</v>
      </c>
      <c r="L16" t="s">
        <v>50</v>
      </c>
      <c r="M16" t="s">
        <v>17</v>
      </c>
    </row>
    <row r="17" spans="1:13" x14ac:dyDescent="0.25">
      <c r="A17" t="s">
        <v>51</v>
      </c>
      <c r="B17" t="s">
        <v>21</v>
      </c>
      <c r="C17" t="e">
        <f>VLOOKUP(B17,#REF!,2,FALSE)</f>
        <v>#REF!</v>
      </c>
      <c r="D17">
        <v>12</v>
      </c>
      <c r="E17" t="s">
        <v>52</v>
      </c>
      <c r="F17" t="s">
        <v>22</v>
      </c>
      <c r="G17">
        <f t="shared" si="0"/>
        <v>2</v>
      </c>
      <c r="H17" t="s">
        <v>13</v>
      </c>
      <c r="I17" t="s">
        <v>19</v>
      </c>
      <c r="J17" t="s">
        <v>24</v>
      </c>
      <c r="K17" t="e">
        <f>VLOOKUP(J17,#REF!,2,FALSE)</f>
        <v>#REF!</v>
      </c>
      <c r="L17" t="s">
        <v>16</v>
      </c>
      <c r="M17" t="s">
        <v>17</v>
      </c>
    </row>
    <row r="18" spans="1:13" x14ac:dyDescent="0.25">
      <c r="A18" t="s">
        <v>53</v>
      </c>
      <c r="B18" t="s">
        <v>54</v>
      </c>
      <c r="C18" t="e">
        <f>VLOOKUP(B18,#REF!,2,FALSE)</f>
        <v>#REF!</v>
      </c>
      <c r="D18">
        <v>48</v>
      </c>
      <c r="E18" t="s">
        <v>41</v>
      </c>
      <c r="F18" t="s">
        <v>22</v>
      </c>
      <c r="G18">
        <f t="shared" si="0"/>
        <v>2</v>
      </c>
      <c r="H18" t="s">
        <v>13</v>
      </c>
      <c r="I18" t="s">
        <v>42</v>
      </c>
      <c r="J18" t="s">
        <v>47</v>
      </c>
      <c r="K18" t="e">
        <f>VLOOKUP(J18,#REF!,2,FALSE)</f>
        <v>#REF!</v>
      </c>
      <c r="L18" t="s">
        <v>16</v>
      </c>
      <c r="M18" t="s">
        <v>26</v>
      </c>
    </row>
    <row r="19" spans="1:13" x14ac:dyDescent="0.25">
      <c r="A19" t="s">
        <v>55</v>
      </c>
      <c r="B19" t="s">
        <v>54</v>
      </c>
      <c r="C19" t="e">
        <f>VLOOKUP(B19,#REF!,2,FALSE)</f>
        <v>#REF!</v>
      </c>
      <c r="D19">
        <v>32</v>
      </c>
      <c r="E19" t="s">
        <v>41</v>
      </c>
      <c r="F19" t="s">
        <v>12</v>
      </c>
      <c r="G19">
        <f t="shared" si="0"/>
        <v>1</v>
      </c>
      <c r="H19" t="s">
        <v>13</v>
      </c>
      <c r="I19" t="s">
        <v>19</v>
      </c>
      <c r="J19" t="s">
        <v>24</v>
      </c>
      <c r="K19" t="e">
        <f>VLOOKUP(J19,#REF!,2,FALSE)</f>
        <v>#REF!</v>
      </c>
      <c r="L19" t="s">
        <v>16</v>
      </c>
      <c r="M19" t="s">
        <v>26</v>
      </c>
    </row>
    <row r="20" spans="1:13" x14ac:dyDescent="0.25">
      <c r="A20" t="s">
        <v>56</v>
      </c>
      <c r="B20" t="s">
        <v>21</v>
      </c>
      <c r="C20" t="e">
        <f>VLOOKUP(B20,#REF!,2,FALSE)</f>
        <v>#REF!</v>
      </c>
      <c r="D20">
        <v>14</v>
      </c>
      <c r="E20" t="s">
        <v>11</v>
      </c>
      <c r="F20" t="s">
        <v>12</v>
      </c>
      <c r="G20">
        <f t="shared" si="0"/>
        <v>1</v>
      </c>
      <c r="H20" t="s">
        <v>23</v>
      </c>
      <c r="I20" t="s">
        <v>57</v>
      </c>
      <c r="J20" t="s">
        <v>15</v>
      </c>
      <c r="K20" t="e">
        <f>VLOOKUP(J20,#REF!,2,FALSE)</f>
        <v>#REF!</v>
      </c>
      <c r="L20" t="s">
        <v>50</v>
      </c>
      <c r="M20" t="s">
        <v>26</v>
      </c>
    </row>
    <row r="21" spans="1:13" x14ac:dyDescent="0.25">
      <c r="A21" t="s">
        <v>58</v>
      </c>
      <c r="B21" t="s">
        <v>10</v>
      </c>
      <c r="C21" t="e">
        <f>VLOOKUP(B21,#REF!,2,FALSE)</f>
        <v>#REF!</v>
      </c>
      <c r="D21">
        <v>18</v>
      </c>
      <c r="E21" t="s">
        <v>11</v>
      </c>
      <c r="F21" t="s">
        <v>22</v>
      </c>
      <c r="G21">
        <f t="shared" si="0"/>
        <v>2</v>
      </c>
      <c r="H21" t="s">
        <v>13</v>
      </c>
      <c r="I21" t="s">
        <v>14</v>
      </c>
      <c r="J21" t="s">
        <v>15</v>
      </c>
      <c r="K21" t="e">
        <f>VLOOKUP(J21,#REF!,2,FALSE)</f>
        <v>#REF!</v>
      </c>
      <c r="L21" t="s">
        <v>16</v>
      </c>
      <c r="M21" t="s">
        <v>26</v>
      </c>
    </row>
    <row r="22" spans="1:13" x14ac:dyDescent="0.25">
      <c r="A22" t="s">
        <v>59</v>
      </c>
      <c r="B22" t="s">
        <v>10</v>
      </c>
      <c r="C22" t="e">
        <f>VLOOKUP(B22,#REF!,2,FALSE)</f>
        <v>#REF!</v>
      </c>
      <c r="D22">
        <v>16</v>
      </c>
      <c r="E22" t="s">
        <v>11</v>
      </c>
      <c r="F22" t="s">
        <v>22</v>
      </c>
      <c r="G22">
        <f t="shared" si="0"/>
        <v>2</v>
      </c>
      <c r="H22" t="s">
        <v>13</v>
      </c>
      <c r="I22" t="s">
        <v>14</v>
      </c>
      <c r="J22" t="s">
        <v>24</v>
      </c>
      <c r="K22" t="e">
        <f>VLOOKUP(J22,#REF!,2,FALSE)</f>
        <v>#REF!</v>
      </c>
      <c r="L22" t="s">
        <v>60</v>
      </c>
      <c r="M22" t="s">
        <v>26</v>
      </c>
    </row>
    <row r="23" spans="1:13" x14ac:dyDescent="0.25">
      <c r="A23" t="s">
        <v>61</v>
      </c>
      <c r="B23" t="s">
        <v>10</v>
      </c>
      <c r="C23" t="e">
        <f>VLOOKUP(B23,#REF!,2,FALSE)</f>
        <v>#REF!</v>
      </c>
      <c r="D23">
        <v>15</v>
      </c>
      <c r="E23" t="s">
        <v>11</v>
      </c>
      <c r="F23" t="s">
        <v>22</v>
      </c>
      <c r="G23">
        <f t="shared" si="0"/>
        <v>2</v>
      </c>
      <c r="H23" t="s">
        <v>13</v>
      </c>
      <c r="I23" t="s">
        <v>14</v>
      </c>
      <c r="J23" t="s">
        <v>24</v>
      </c>
      <c r="K23" t="e">
        <f>VLOOKUP(J23,#REF!,2,FALSE)</f>
        <v>#REF!</v>
      </c>
      <c r="L23" t="s">
        <v>60</v>
      </c>
      <c r="M23" t="s">
        <v>26</v>
      </c>
    </row>
    <row r="24" spans="1:13" x14ac:dyDescent="0.25">
      <c r="A24" t="s">
        <v>62</v>
      </c>
      <c r="B24" t="s">
        <v>10</v>
      </c>
      <c r="C24" t="e">
        <f>VLOOKUP(B24,#REF!,2,FALSE)</f>
        <v>#REF!</v>
      </c>
      <c r="D24">
        <v>17</v>
      </c>
      <c r="E24" t="s">
        <v>11</v>
      </c>
      <c r="F24" t="s">
        <v>22</v>
      </c>
      <c r="G24">
        <f t="shared" si="0"/>
        <v>2</v>
      </c>
      <c r="H24" t="s">
        <v>13</v>
      </c>
      <c r="I24" t="s">
        <v>19</v>
      </c>
      <c r="J24" t="s">
        <v>24</v>
      </c>
      <c r="K24" t="e">
        <f>VLOOKUP(J24,#REF!,2,FALSE)</f>
        <v>#REF!</v>
      </c>
      <c r="L24" t="s">
        <v>63</v>
      </c>
      <c r="M24" t="s">
        <v>26</v>
      </c>
    </row>
    <row r="25" spans="1:13" x14ac:dyDescent="0.25">
      <c r="A25" t="s">
        <v>64</v>
      </c>
      <c r="B25" t="s">
        <v>10</v>
      </c>
      <c r="C25" t="e">
        <f>VLOOKUP(B25,#REF!,2,FALSE)</f>
        <v>#REF!</v>
      </c>
      <c r="D25">
        <v>18</v>
      </c>
      <c r="E25" t="s">
        <v>11</v>
      </c>
      <c r="F25" t="s">
        <v>12</v>
      </c>
      <c r="G25">
        <f t="shared" si="0"/>
        <v>1</v>
      </c>
      <c r="H25" t="s">
        <v>13</v>
      </c>
      <c r="I25" t="s">
        <v>19</v>
      </c>
      <c r="J25" t="s">
        <v>43</v>
      </c>
      <c r="K25" t="e">
        <f>VLOOKUP(J25,#REF!,2,FALSE)</f>
        <v>#REF!</v>
      </c>
      <c r="L25" t="s">
        <v>65</v>
      </c>
      <c r="M25" t="s">
        <v>26</v>
      </c>
    </row>
    <row r="26" spans="1:13" x14ac:dyDescent="0.25">
      <c r="A26" t="s">
        <v>66</v>
      </c>
      <c r="B26" t="s">
        <v>21</v>
      </c>
      <c r="C26" t="e">
        <f>VLOOKUP(B26,#REF!,2,FALSE)</f>
        <v>#REF!</v>
      </c>
      <c r="D26">
        <v>14</v>
      </c>
      <c r="E26" t="s">
        <v>11</v>
      </c>
      <c r="F26" t="s">
        <v>22</v>
      </c>
      <c r="G26">
        <f t="shared" si="0"/>
        <v>2</v>
      </c>
      <c r="H26" t="s">
        <v>13</v>
      </c>
      <c r="I26" t="s">
        <v>19</v>
      </c>
      <c r="J26" t="s">
        <v>47</v>
      </c>
      <c r="K26" t="e">
        <f>VLOOKUP(J26,#REF!,2,FALSE)</f>
        <v>#REF!</v>
      </c>
      <c r="L26" t="s">
        <v>67</v>
      </c>
      <c r="M26" t="s">
        <v>26</v>
      </c>
    </row>
    <row r="27" spans="1:13" x14ac:dyDescent="0.25">
      <c r="A27" t="s">
        <v>68</v>
      </c>
      <c r="B27" t="s">
        <v>10</v>
      </c>
      <c r="C27" t="e">
        <f>VLOOKUP(B27,#REF!,2,FALSE)</f>
        <v>#REF!</v>
      </c>
      <c r="D27">
        <v>18</v>
      </c>
      <c r="E27" t="s">
        <v>11</v>
      </c>
      <c r="F27" t="s">
        <v>12</v>
      </c>
      <c r="G27">
        <f t="shared" si="0"/>
        <v>1</v>
      </c>
      <c r="H27" t="s">
        <v>13</v>
      </c>
      <c r="I27" t="s">
        <v>30</v>
      </c>
      <c r="J27" t="s">
        <v>15</v>
      </c>
      <c r="K27" t="e">
        <f>VLOOKUP(J27,#REF!,2,FALSE)</f>
        <v>#REF!</v>
      </c>
      <c r="L27" t="s">
        <v>69</v>
      </c>
    </row>
    <row r="28" spans="1:13" x14ac:dyDescent="0.25">
      <c r="A28" t="s">
        <v>70</v>
      </c>
      <c r="B28" t="s">
        <v>10</v>
      </c>
      <c r="C28" t="e">
        <f>VLOOKUP(B28,#REF!,2,FALSE)</f>
        <v>#REF!</v>
      </c>
      <c r="D28">
        <v>17</v>
      </c>
      <c r="E28" t="s">
        <v>11</v>
      </c>
      <c r="F28" t="s">
        <v>22</v>
      </c>
      <c r="G28">
        <f t="shared" si="0"/>
        <v>2</v>
      </c>
      <c r="H28" t="s">
        <v>13</v>
      </c>
      <c r="I28" t="s">
        <v>19</v>
      </c>
      <c r="J28" t="s">
        <v>47</v>
      </c>
      <c r="K28" t="e">
        <f>VLOOKUP(J28,#REF!,2,FALSE)</f>
        <v>#REF!</v>
      </c>
      <c r="L28" t="s">
        <v>67</v>
      </c>
      <c r="M28" t="s">
        <v>26</v>
      </c>
    </row>
    <row r="29" spans="1:13" x14ac:dyDescent="0.25">
      <c r="A29" t="s">
        <v>71</v>
      </c>
      <c r="B29" t="s">
        <v>10</v>
      </c>
      <c r="C29" t="e">
        <f>VLOOKUP(B29,#REF!,2,FALSE)</f>
        <v>#REF!</v>
      </c>
      <c r="D29">
        <v>15</v>
      </c>
      <c r="E29" t="s">
        <v>11</v>
      </c>
      <c r="F29" t="s">
        <v>12</v>
      </c>
      <c r="G29">
        <f t="shared" si="0"/>
        <v>1</v>
      </c>
      <c r="H29" t="s">
        <v>13</v>
      </c>
      <c r="I29" t="s">
        <v>14</v>
      </c>
      <c r="J29" t="s">
        <v>24</v>
      </c>
      <c r="K29" t="e">
        <f>VLOOKUP(J29,#REF!,2,FALSE)</f>
        <v>#REF!</v>
      </c>
      <c r="L29" t="s">
        <v>16</v>
      </c>
      <c r="M29" t="s">
        <v>26</v>
      </c>
    </row>
    <row r="30" spans="1:13" x14ac:dyDescent="0.25">
      <c r="A30" t="s">
        <v>72</v>
      </c>
      <c r="B30" t="s">
        <v>10</v>
      </c>
      <c r="C30" t="e">
        <f>VLOOKUP(B30,#REF!,2,FALSE)</f>
        <v>#REF!</v>
      </c>
      <c r="D30">
        <v>15</v>
      </c>
      <c r="E30" t="s">
        <v>11</v>
      </c>
      <c r="F30" t="s">
        <v>12</v>
      </c>
      <c r="G30">
        <f t="shared" si="0"/>
        <v>1</v>
      </c>
      <c r="H30" t="s">
        <v>13</v>
      </c>
      <c r="I30" t="s">
        <v>73</v>
      </c>
      <c r="J30" t="s">
        <v>15</v>
      </c>
      <c r="K30" t="e">
        <f>VLOOKUP(J30,#REF!,2,FALSE)</f>
        <v>#REF!</v>
      </c>
      <c r="L30" t="s">
        <v>74</v>
      </c>
      <c r="M30" t="s">
        <v>26</v>
      </c>
    </row>
    <row r="31" spans="1:13" x14ac:dyDescent="0.25">
      <c r="A31" t="s">
        <v>75</v>
      </c>
      <c r="B31" t="s">
        <v>54</v>
      </c>
      <c r="C31" t="e">
        <f>VLOOKUP(B31,#REF!,2,FALSE)</f>
        <v>#REF!</v>
      </c>
      <c r="D31">
        <v>36</v>
      </c>
      <c r="E31" t="s">
        <v>41</v>
      </c>
      <c r="F31" t="s">
        <v>22</v>
      </c>
      <c r="G31">
        <f t="shared" si="0"/>
        <v>2</v>
      </c>
      <c r="H31" t="s">
        <v>13</v>
      </c>
      <c r="I31" t="s">
        <v>76</v>
      </c>
      <c r="J31" t="s">
        <v>47</v>
      </c>
      <c r="K31" t="e">
        <f>VLOOKUP(J31,#REF!,2,FALSE)</f>
        <v>#REF!</v>
      </c>
      <c r="L31" t="s">
        <v>77</v>
      </c>
      <c r="M31" t="s">
        <v>26</v>
      </c>
    </row>
    <row r="32" spans="1:13" x14ac:dyDescent="0.25">
      <c r="A32" t="s">
        <v>78</v>
      </c>
      <c r="B32" t="s">
        <v>10</v>
      </c>
      <c r="C32" t="e">
        <f>VLOOKUP(B32,#REF!,2,FALSE)</f>
        <v>#REF!</v>
      </c>
      <c r="D32">
        <v>17</v>
      </c>
      <c r="E32" t="s">
        <v>11</v>
      </c>
      <c r="F32" t="s">
        <v>12</v>
      </c>
      <c r="G32">
        <f t="shared" si="0"/>
        <v>1</v>
      </c>
      <c r="H32" t="s">
        <v>13</v>
      </c>
      <c r="I32" t="s">
        <v>14</v>
      </c>
      <c r="J32" t="s">
        <v>24</v>
      </c>
      <c r="K32" t="e">
        <f>VLOOKUP(J32,#REF!,2,FALSE)</f>
        <v>#REF!</v>
      </c>
      <c r="L32" t="s">
        <v>16</v>
      </c>
      <c r="M32" t="s">
        <v>26</v>
      </c>
    </row>
    <row r="33" spans="1:13" x14ac:dyDescent="0.25">
      <c r="A33" t="s">
        <v>79</v>
      </c>
      <c r="B33" t="s">
        <v>10</v>
      </c>
      <c r="C33" t="e">
        <f>VLOOKUP(B33,#REF!,2,FALSE)</f>
        <v>#REF!</v>
      </c>
      <c r="D33">
        <v>17</v>
      </c>
      <c r="E33" t="s">
        <v>11</v>
      </c>
      <c r="F33" t="s">
        <v>22</v>
      </c>
      <c r="G33">
        <f t="shared" si="0"/>
        <v>2</v>
      </c>
      <c r="H33" t="s">
        <v>23</v>
      </c>
      <c r="I33" t="s">
        <v>19</v>
      </c>
      <c r="J33" t="s">
        <v>24</v>
      </c>
      <c r="K33" t="e">
        <f>VLOOKUP(J33,#REF!,2,FALSE)</f>
        <v>#REF!</v>
      </c>
      <c r="L33" t="s">
        <v>16</v>
      </c>
      <c r="M33" t="s">
        <v>26</v>
      </c>
    </row>
    <row r="34" spans="1:13" x14ac:dyDescent="0.25">
      <c r="A34" t="s">
        <v>80</v>
      </c>
      <c r="B34" t="s">
        <v>10</v>
      </c>
      <c r="C34" t="e">
        <f>VLOOKUP(B34,#REF!,2,FALSE)</f>
        <v>#REF!</v>
      </c>
      <c r="D34">
        <v>15</v>
      </c>
      <c r="E34" t="s">
        <v>11</v>
      </c>
      <c r="F34" t="s">
        <v>22</v>
      </c>
      <c r="G34">
        <f t="shared" si="0"/>
        <v>2</v>
      </c>
      <c r="H34" t="s">
        <v>13</v>
      </c>
      <c r="I34" t="s">
        <v>14</v>
      </c>
      <c r="J34" t="s">
        <v>24</v>
      </c>
      <c r="K34" t="e">
        <f>VLOOKUP(J34,#REF!,2,FALSE)</f>
        <v>#REF!</v>
      </c>
      <c r="L34" t="s">
        <v>16</v>
      </c>
      <c r="M34" t="s">
        <v>17</v>
      </c>
    </row>
    <row r="35" spans="1:13" x14ac:dyDescent="0.25">
      <c r="A35" t="s">
        <v>81</v>
      </c>
      <c r="B35" t="s">
        <v>10</v>
      </c>
      <c r="C35" t="e">
        <f>VLOOKUP(B35,#REF!,2,FALSE)</f>
        <v>#REF!</v>
      </c>
      <c r="D35">
        <v>17</v>
      </c>
      <c r="E35" t="s">
        <v>11</v>
      </c>
      <c r="F35" t="s">
        <v>22</v>
      </c>
      <c r="G35">
        <f t="shared" si="0"/>
        <v>2</v>
      </c>
      <c r="H35" t="s">
        <v>13</v>
      </c>
      <c r="I35" t="s">
        <v>14</v>
      </c>
      <c r="J35" t="s">
        <v>24</v>
      </c>
      <c r="K35" t="e">
        <f>VLOOKUP(J35,#REF!,2,FALSE)</f>
        <v>#REF!</v>
      </c>
      <c r="L35" t="s">
        <v>16</v>
      </c>
      <c r="M35" t="s">
        <v>17</v>
      </c>
    </row>
    <row r="36" spans="1:13" x14ac:dyDescent="0.25">
      <c r="A36" t="s">
        <v>82</v>
      </c>
      <c r="B36" t="s">
        <v>10</v>
      </c>
      <c r="C36" t="e">
        <f>VLOOKUP(B36,#REF!,2,FALSE)</f>
        <v>#REF!</v>
      </c>
      <c r="D36">
        <v>17</v>
      </c>
      <c r="E36" t="s">
        <v>11</v>
      </c>
      <c r="F36" t="s">
        <v>22</v>
      </c>
      <c r="G36">
        <f t="shared" si="0"/>
        <v>2</v>
      </c>
      <c r="H36" t="s">
        <v>23</v>
      </c>
      <c r="I36" t="s">
        <v>30</v>
      </c>
      <c r="J36" t="s">
        <v>24</v>
      </c>
      <c r="K36" t="e">
        <f>VLOOKUP(J36,#REF!,2,FALSE)</f>
        <v>#REF!</v>
      </c>
      <c r="L36" t="s">
        <v>67</v>
      </c>
      <c r="M36" t="s">
        <v>26</v>
      </c>
    </row>
    <row r="37" spans="1:13" x14ac:dyDescent="0.25">
      <c r="A37" t="s">
        <v>83</v>
      </c>
      <c r="B37" t="s">
        <v>10</v>
      </c>
      <c r="C37" t="e">
        <f>VLOOKUP(B37,#REF!,2,FALSE)</f>
        <v>#REF!</v>
      </c>
      <c r="D37">
        <v>16</v>
      </c>
      <c r="E37" t="s">
        <v>11</v>
      </c>
      <c r="F37" t="s">
        <v>12</v>
      </c>
      <c r="G37">
        <f t="shared" si="0"/>
        <v>1</v>
      </c>
      <c r="H37" t="s">
        <v>13</v>
      </c>
      <c r="I37" t="s">
        <v>14</v>
      </c>
      <c r="J37" t="s">
        <v>24</v>
      </c>
      <c r="K37" t="e">
        <f>VLOOKUP(J37,#REF!,2,FALSE)</f>
        <v>#REF!</v>
      </c>
      <c r="L37" t="s">
        <v>16</v>
      </c>
      <c r="M37" t="s">
        <v>26</v>
      </c>
    </row>
    <row r="38" spans="1:13" x14ac:dyDescent="0.25">
      <c r="A38" t="s">
        <v>84</v>
      </c>
      <c r="B38" t="s">
        <v>10</v>
      </c>
      <c r="C38" t="e">
        <f>VLOOKUP(B38,#REF!,2,FALSE)</f>
        <v>#REF!</v>
      </c>
      <c r="D38">
        <v>18</v>
      </c>
      <c r="E38" t="s">
        <v>11</v>
      </c>
      <c r="F38" t="s">
        <v>12</v>
      </c>
      <c r="G38">
        <f t="shared" si="0"/>
        <v>1</v>
      </c>
      <c r="H38" t="s">
        <v>13</v>
      </c>
      <c r="I38" t="s">
        <v>14</v>
      </c>
      <c r="J38" t="s">
        <v>15</v>
      </c>
      <c r="K38" t="e">
        <f>VLOOKUP(J38,#REF!,2,FALSE)</f>
        <v>#REF!</v>
      </c>
      <c r="M38" t="s">
        <v>17</v>
      </c>
    </row>
    <row r="39" spans="1:13" x14ac:dyDescent="0.25">
      <c r="A39" t="s">
        <v>85</v>
      </c>
      <c r="B39" t="s">
        <v>10</v>
      </c>
      <c r="C39" t="e">
        <f>VLOOKUP(B39,#REF!,2,FALSE)</f>
        <v>#REF!</v>
      </c>
      <c r="D39">
        <v>17</v>
      </c>
      <c r="E39" t="s">
        <v>11</v>
      </c>
      <c r="F39" t="s">
        <v>22</v>
      </c>
      <c r="G39">
        <f t="shared" si="0"/>
        <v>2</v>
      </c>
      <c r="H39" t="s">
        <v>13</v>
      </c>
      <c r="I39" t="s">
        <v>14</v>
      </c>
      <c r="J39" t="s">
        <v>24</v>
      </c>
      <c r="K39" t="e">
        <f>VLOOKUP(J39,#REF!,2,FALSE)</f>
        <v>#REF!</v>
      </c>
      <c r="L39" t="s">
        <v>16</v>
      </c>
      <c r="M39" t="s">
        <v>26</v>
      </c>
    </row>
    <row r="40" spans="1:13" x14ac:dyDescent="0.25">
      <c r="A40" t="s">
        <v>86</v>
      </c>
      <c r="B40" t="s">
        <v>10</v>
      </c>
      <c r="C40" t="e">
        <f>VLOOKUP(B40,#REF!,2,FALSE)</f>
        <v>#REF!</v>
      </c>
      <c r="D40">
        <v>17</v>
      </c>
      <c r="E40" t="s">
        <v>11</v>
      </c>
      <c r="F40" t="s">
        <v>22</v>
      </c>
      <c r="G40">
        <f t="shared" si="0"/>
        <v>2</v>
      </c>
      <c r="H40" t="s">
        <v>13</v>
      </c>
      <c r="I40" t="s">
        <v>42</v>
      </c>
      <c r="J40" t="s">
        <v>47</v>
      </c>
      <c r="K40" t="e">
        <f>VLOOKUP(J40,#REF!,2,FALSE)</f>
        <v>#REF!</v>
      </c>
      <c r="L40" t="s">
        <v>16</v>
      </c>
      <c r="M40" t="s">
        <v>26</v>
      </c>
    </row>
    <row r="41" spans="1:13" x14ac:dyDescent="0.25">
      <c r="A41" t="s">
        <v>87</v>
      </c>
      <c r="B41" t="s">
        <v>54</v>
      </c>
      <c r="C41" t="e">
        <f>VLOOKUP(B41,#REF!,2,FALSE)</f>
        <v>#REF!</v>
      </c>
      <c r="D41">
        <v>45</v>
      </c>
      <c r="E41" t="s">
        <v>41</v>
      </c>
      <c r="F41" t="s">
        <v>12</v>
      </c>
      <c r="G41">
        <f t="shared" si="0"/>
        <v>1</v>
      </c>
      <c r="H41" t="s">
        <v>13</v>
      </c>
      <c r="I41" t="s">
        <v>19</v>
      </c>
      <c r="J41" t="s">
        <v>43</v>
      </c>
      <c r="K41" t="e">
        <f>VLOOKUP(J41,#REF!,2,FALSE)</f>
        <v>#REF!</v>
      </c>
      <c r="L41" t="s">
        <v>19</v>
      </c>
      <c r="M41" t="s">
        <v>17</v>
      </c>
    </row>
    <row r="42" spans="1:13" x14ac:dyDescent="0.25">
      <c r="A42" t="s">
        <v>88</v>
      </c>
      <c r="B42" t="s">
        <v>21</v>
      </c>
      <c r="C42" t="e">
        <f>VLOOKUP(B42,#REF!,2,FALSE)</f>
        <v>#REF!</v>
      </c>
      <c r="D42">
        <v>11</v>
      </c>
      <c r="E42" t="s">
        <v>11</v>
      </c>
      <c r="F42" t="s">
        <v>22</v>
      </c>
      <c r="G42">
        <f t="shared" si="0"/>
        <v>2</v>
      </c>
      <c r="H42" t="s">
        <v>13</v>
      </c>
      <c r="I42" t="s">
        <v>89</v>
      </c>
      <c r="J42" t="s">
        <v>24</v>
      </c>
      <c r="K42" t="e">
        <f>VLOOKUP(J42,#REF!,2,FALSE)</f>
        <v>#REF!</v>
      </c>
      <c r="L42" t="s">
        <v>90</v>
      </c>
      <c r="M42" t="s">
        <v>17</v>
      </c>
    </row>
    <row r="43" spans="1:13" x14ac:dyDescent="0.25">
      <c r="A43" t="s">
        <v>91</v>
      </c>
      <c r="B43" t="s">
        <v>21</v>
      </c>
      <c r="C43" t="e">
        <f>VLOOKUP(B43,#REF!,2,FALSE)</f>
        <v>#REF!</v>
      </c>
      <c r="D43">
        <v>12</v>
      </c>
      <c r="E43" t="s">
        <v>11</v>
      </c>
      <c r="F43" t="s">
        <v>92</v>
      </c>
      <c r="G43">
        <v>0</v>
      </c>
      <c r="H43" t="s">
        <v>23</v>
      </c>
      <c r="I43" t="s">
        <v>30</v>
      </c>
      <c r="J43" t="s">
        <v>43</v>
      </c>
      <c r="K43" t="e">
        <f>VLOOKUP(J43,#REF!,2,FALSE)</f>
        <v>#REF!</v>
      </c>
      <c r="L43" t="s">
        <v>16</v>
      </c>
      <c r="M43" t="s">
        <v>26</v>
      </c>
    </row>
    <row r="44" spans="1:13" x14ac:dyDescent="0.25">
      <c r="A44" t="s">
        <v>93</v>
      </c>
      <c r="B44" t="s">
        <v>21</v>
      </c>
      <c r="C44" t="e">
        <f>VLOOKUP(B44,#REF!,2,FALSE)</f>
        <v>#REF!</v>
      </c>
      <c r="D44">
        <v>11</v>
      </c>
      <c r="E44" t="s">
        <v>11</v>
      </c>
      <c r="F44" t="s">
        <v>22</v>
      </c>
      <c r="G44">
        <f t="shared" si="0"/>
        <v>2</v>
      </c>
      <c r="H44" t="s">
        <v>13</v>
      </c>
      <c r="I44" t="s">
        <v>94</v>
      </c>
      <c r="J44" t="s">
        <v>24</v>
      </c>
      <c r="K44" t="e">
        <f>VLOOKUP(J44,#REF!,2,FALSE)</f>
        <v>#REF!</v>
      </c>
      <c r="L44" t="s">
        <v>95</v>
      </c>
      <c r="M44" t="s">
        <v>26</v>
      </c>
    </row>
    <row r="45" spans="1:13" x14ac:dyDescent="0.25">
      <c r="A45" t="s">
        <v>96</v>
      </c>
      <c r="B45" t="s">
        <v>10</v>
      </c>
      <c r="C45" t="e">
        <f>VLOOKUP(B45,#REF!,2,FALSE)</f>
        <v>#REF!</v>
      </c>
      <c r="D45">
        <v>15</v>
      </c>
      <c r="E45" t="s">
        <v>11</v>
      </c>
      <c r="F45" t="s">
        <v>12</v>
      </c>
      <c r="G45">
        <f t="shared" si="0"/>
        <v>1</v>
      </c>
      <c r="H45" t="s">
        <v>13</v>
      </c>
      <c r="I45" t="s">
        <v>19</v>
      </c>
      <c r="J45" t="s">
        <v>24</v>
      </c>
      <c r="K45" t="e">
        <f>VLOOKUP(J45,#REF!,2,FALSE)</f>
        <v>#REF!</v>
      </c>
      <c r="M45" t="s">
        <v>26</v>
      </c>
    </row>
    <row r="46" spans="1:13" x14ac:dyDescent="0.25">
      <c r="A46" t="s">
        <v>97</v>
      </c>
      <c r="B46" t="s">
        <v>21</v>
      </c>
      <c r="C46" t="e">
        <f>VLOOKUP(B46,#REF!,2,FALSE)</f>
        <v>#REF!</v>
      </c>
      <c r="D46">
        <v>11</v>
      </c>
      <c r="E46" t="s">
        <v>11</v>
      </c>
      <c r="F46" t="s">
        <v>22</v>
      </c>
      <c r="G46">
        <f t="shared" si="0"/>
        <v>2</v>
      </c>
      <c r="H46" t="s">
        <v>13</v>
      </c>
      <c r="I46" t="s">
        <v>14</v>
      </c>
      <c r="J46" t="s">
        <v>24</v>
      </c>
      <c r="K46" t="e">
        <f>VLOOKUP(J46,#REF!,2,FALSE)</f>
        <v>#REF!</v>
      </c>
      <c r="L46" t="s">
        <v>98</v>
      </c>
      <c r="M46" t="s">
        <v>17</v>
      </c>
    </row>
    <row r="47" spans="1:13" x14ac:dyDescent="0.25">
      <c r="A47" t="s">
        <v>99</v>
      </c>
      <c r="B47" t="s">
        <v>21</v>
      </c>
      <c r="C47" t="e">
        <f>VLOOKUP(B47,#REF!,2,FALSE)</f>
        <v>#REF!</v>
      </c>
      <c r="D47">
        <v>11</v>
      </c>
      <c r="E47" t="s">
        <v>11</v>
      </c>
      <c r="F47" t="s">
        <v>22</v>
      </c>
      <c r="G47">
        <f t="shared" si="0"/>
        <v>2</v>
      </c>
      <c r="H47" t="s">
        <v>23</v>
      </c>
      <c r="I47" t="s">
        <v>19</v>
      </c>
      <c r="J47" t="s">
        <v>24</v>
      </c>
      <c r="K47" t="e">
        <f>VLOOKUP(J47,#REF!,2,FALSE)</f>
        <v>#REF!</v>
      </c>
      <c r="L47" t="s">
        <v>100</v>
      </c>
      <c r="M47" t="s">
        <v>26</v>
      </c>
    </row>
    <row r="48" spans="1:13" x14ac:dyDescent="0.25">
      <c r="A48" t="s">
        <v>101</v>
      </c>
      <c r="B48" t="s">
        <v>21</v>
      </c>
      <c r="C48" t="e">
        <f>VLOOKUP(B48,#REF!,2,FALSE)</f>
        <v>#REF!</v>
      </c>
      <c r="D48">
        <v>14</v>
      </c>
      <c r="E48" t="s">
        <v>11</v>
      </c>
      <c r="F48" t="s">
        <v>22</v>
      </c>
      <c r="G48">
        <f t="shared" si="0"/>
        <v>2</v>
      </c>
      <c r="H48" t="s">
        <v>13</v>
      </c>
      <c r="I48" t="s">
        <v>102</v>
      </c>
      <c r="J48" t="s">
        <v>24</v>
      </c>
      <c r="K48" t="e">
        <f>VLOOKUP(J48,#REF!,2,FALSE)</f>
        <v>#REF!</v>
      </c>
      <c r="L48" t="s">
        <v>16</v>
      </c>
      <c r="M48" t="s">
        <v>26</v>
      </c>
    </row>
    <row r="49" spans="1:13" x14ac:dyDescent="0.25">
      <c r="A49" t="s">
        <v>103</v>
      </c>
      <c r="B49" t="s">
        <v>21</v>
      </c>
      <c r="C49" t="e">
        <f>VLOOKUP(B49,#REF!,2,FALSE)</f>
        <v>#REF!</v>
      </c>
      <c r="D49">
        <v>13</v>
      </c>
      <c r="E49" t="s">
        <v>11</v>
      </c>
      <c r="F49" t="s">
        <v>22</v>
      </c>
      <c r="G49">
        <f t="shared" si="0"/>
        <v>2</v>
      </c>
      <c r="H49" t="s">
        <v>23</v>
      </c>
      <c r="I49" t="s">
        <v>30</v>
      </c>
      <c r="J49" t="s">
        <v>15</v>
      </c>
      <c r="K49" t="e">
        <f>VLOOKUP(J49,#REF!,2,FALSE)</f>
        <v>#REF!</v>
      </c>
      <c r="L49" t="s">
        <v>16</v>
      </c>
      <c r="M49" t="s">
        <v>26</v>
      </c>
    </row>
    <row r="50" spans="1:13" x14ac:dyDescent="0.25">
      <c r="A50" t="s">
        <v>104</v>
      </c>
      <c r="B50" t="s">
        <v>21</v>
      </c>
      <c r="C50" t="e">
        <f>VLOOKUP(B50,#REF!,2,FALSE)</f>
        <v>#REF!</v>
      </c>
      <c r="D50">
        <v>12</v>
      </c>
      <c r="E50" t="s">
        <v>11</v>
      </c>
      <c r="F50" t="s">
        <v>12</v>
      </c>
      <c r="G50">
        <f t="shared" si="0"/>
        <v>1</v>
      </c>
      <c r="H50" t="s">
        <v>13</v>
      </c>
      <c r="I50" t="s">
        <v>105</v>
      </c>
      <c r="J50" t="s">
        <v>24</v>
      </c>
      <c r="K50" t="e">
        <f>VLOOKUP(J50,#REF!,2,FALSE)</f>
        <v>#REF!</v>
      </c>
      <c r="L50" t="s">
        <v>106</v>
      </c>
      <c r="M50" t="s">
        <v>17</v>
      </c>
    </row>
    <row r="51" spans="1:13" x14ac:dyDescent="0.25">
      <c r="A51" t="s">
        <v>107</v>
      </c>
      <c r="B51" t="s">
        <v>21</v>
      </c>
      <c r="C51" t="e">
        <f>VLOOKUP(B51,#REF!,2,FALSE)</f>
        <v>#REF!</v>
      </c>
      <c r="D51">
        <v>13</v>
      </c>
      <c r="E51" t="s">
        <v>11</v>
      </c>
      <c r="F51" t="s">
        <v>22</v>
      </c>
      <c r="G51">
        <f t="shared" si="0"/>
        <v>2</v>
      </c>
      <c r="H51" t="s">
        <v>13</v>
      </c>
      <c r="I51" t="s">
        <v>108</v>
      </c>
      <c r="J51" t="s">
        <v>47</v>
      </c>
      <c r="K51" t="e">
        <f>VLOOKUP(J51,#REF!,2,FALSE)</f>
        <v>#REF!</v>
      </c>
      <c r="L51" t="s">
        <v>60</v>
      </c>
      <c r="M51" t="s">
        <v>26</v>
      </c>
    </row>
    <row r="52" spans="1:13" x14ac:dyDescent="0.25">
      <c r="A52" t="s">
        <v>109</v>
      </c>
      <c r="B52" t="s">
        <v>10</v>
      </c>
      <c r="C52" t="e">
        <f>VLOOKUP(B52,#REF!,2,FALSE)</f>
        <v>#REF!</v>
      </c>
      <c r="D52">
        <v>16</v>
      </c>
      <c r="E52" t="s">
        <v>11</v>
      </c>
      <c r="F52" t="s">
        <v>22</v>
      </c>
      <c r="G52">
        <f t="shared" si="0"/>
        <v>2</v>
      </c>
      <c r="H52" t="s">
        <v>23</v>
      </c>
      <c r="I52" t="s">
        <v>30</v>
      </c>
      <c r="J52" t="s">
        <v>24</v>
      </c>
      <c r="K52" t="e">
        <f>VLOOKUP(J52,#REF!,2,FALSE)</f>
        <v>#REF!</v>
      </c>
      <c r="L52" t="s">
        <v>16</v>
      </c>
      <c r="M52" t="s">
        <v>26</v>
      </c>
    </row>
    <row r="53" spans="1:13" x14ac:dyDescent="0.25">
      <c r="A53" t="s">
        <v>110</v>
      </c>
      <c r="B53" t="s">
        <v>10</v>
      </c>
      <c r="C53" t="e">
        <f>VLOOKUP(B53,#REF!,2,FALSE)</f>
        <v>#REF!</v>
      </c>
      <c r="D53">
        <v>15</v>
      </c>
      <c r="E53" t="s">
        <v>11</v>
      </c>
      <c r="F53" t="s">
        <v>22</v>
      </c>
      <c r="G53">
        <f t="shared" si="0"/>
        <v>2</v>
      </c>
      <c r="H53" t="s">
        <v>23</v>
      </c>
      <c r="I53" t="s">
        <v>30</v>
      </c>
      <c r="J53" t="s">
        <v>24</v>
      </c>
      <c r="K53" t="e">
        <f>VLOOKUP(J53,#REF!,2,FALSE)</f>
        <v>#REF!</v>
      </c>
      <c r="L53" t="s">
        <v>67</v>
      </c>
      <c r="M53" t="s">
        <v>26</v>
      </c>
    </row>
    <row r="54" spans="1:13" x14ac:dyDescent="0.25">
      <c r="A54" t="s">
        <v>111</v>
      </c>
      <c r="B54" t="s">
        <v>54</v>
      </c>
      <c r="C54" t="e">
        <f>VLOOKUP(B54,#REF!,2,FALSE)</f>
        <v>#REF!</v>
      </c>
      <c r="D54">
        <v>32</v>
      </c>
      <c r="E54" t="s">
        <v>41</v>
      </c>
      <c r="F54" t="s">
        <v>22</v>
      </c>
      <c r="G54">
        <f t="shared" si="0"/>
        <v>2</v>
      </c>
      <c r="H54" t="s">
        <v>13</v>
      </c>
      <c r="I54" t="s">
        <v>14</v>
      </c>
      <c r="J54" t="s">
        <v>47</v>
      </c>
      <c r="K54" t="e">
        <f>VLOOKUP(J54,#REF!,2,FALSE)</f>
        <v>#REF!</v>
      </c>
      <c r="L54" t="s">
        <v>60</v>
      </c>
      <c r="M54" t="s">
        <v>17</v>
      </c>
    </row>
    <row r="55" spans="1:13" x14ac:dyDescent="0.25">
      <c r="A55" t="s">
        <v>112</v>
      </c>
      <c r="B55" t="s">
        <v>10</v>
      </c>
      <c r="C55" t="e">
        <f>VLOOKUP(B55,#REF!,2,FALSE)</f>
        <v>#REF!</v>
      </c>
      <c r="D55">
        <v>15</v>
      </c>
      <c r="E55" t="s">
        <v>11</v>
      </c>
      <c r="F55" t="s">
        <v>22</v>
      </c>
      <c r="G55">
        <f t="shared" si="0"/>
        <v>2</v>
      </c>
      <c r="H55" t="s">
        <v>23</v>
      </c>
      <c r="I55" t="s">
        <v>19</v>
      </c>
      <c r="J55" t="s">
        <v>15</v>
      </c>
      <c r="K55" t="e">
        <f>VLOOKUP(J55,#REF!,2,FALSE)</f>
        <v>#REF!</v>
      </c>
      <c r="L55" t="s">
        <v>16</v>
      </c>
      <c r="M55" t="s">
        <v>26</v>
      </c>
    </row>
    <row r="56" spans="1:13" x14ac:dyDescent="0.25">
      <c r="A56" t="s">
        <v>113</v>
      </c>
      <c r="B56" t="s">
        <v>21</v>
      </c>
      <c r="C56" t="e">
        <f>VLOOKUP(B56,#REF!,2,FALSE)</f>
        <v>#REF!</v>
      </c>
      <c r="D56">
        <v>13</v>
      </c>
      <c r="E56" t="s">
        <v>11</v>
      </c>
      <c r="F56" t="s">
        <v>22</v>
      </c>
      <c r="G56">
        <f t="shared" si="0"/>
        <v>2</v>
      </c>
      <c r="H56" t="s">
        <v>13</v>
      </c>
      <c r="I56" t="s">
        <v>30</v>
      </c>
      <c r="J56" t="s">
        <v>24</v>
      </c>
      <c r="K56" t="e">
        <f>VLOOKUP(J56,#REF!,2,FALSE)</f>
        <v>#REF!</v>
      </c>
      <c r="L56" t="s">
        <v>114</v>
      </c>
      <c r="M56" t="s">
        <v>26</v>
      </c>
    </row>
    <row r="57" spans="1:13" x14ac:dyDescent="0.25">
      <c r="A57" t="s">
        <v>115</v>
      </c>
      <c r="B57" t="s">
        <v>21</v>
      </c>
      <c r="C57" t="e">
        <f>VLOOKUP(B57,#REF!,2,FALSE)</f>
        <v>#REF!</v>
      </c>
      <c r="D57">
        <v>12</v>
      </c>
      <c r="E57" t="s">
        <v>11</v>
      </c>
      <c r="F57" t="s">
        <v>22</v>
      </c>
      <c r="G57">
        <f t="shared" si="0"/>
        <v>2</v>
      </c>
      <c r="H57" t="s">
        <v>23</v>
      </c>
      <c r="I57" t="s">
        <v>42</v>
      </c>
      <c r="J57" t="s">
        <v>24</v>
      </c>
      <c r="K57" t="e">
        <f>VLOOKUP(J57,#REF!,2,FALSE)</f>
        <v>#REF!</v>
      </c>
      <c r="L57" t="s">
        <v>16</v>
      </c>
      <c r="M57" t="s">
        <v>26</v>
      </c>
    </row>
    <row r="58" spans="1:13" x14ac:dyDescent="0.25">
      <c r="A58" t="s">
        <v>116</v>
      </c>
      <c r="B58" t="s">
        <v>54</v>
      </c>
      <c r="C58" t="e">
        <f>VLOOKUP(B58,#REF!,2,FALSE)</f>
        <v>#REF!</v>
      </c>
      <c r="D58">
        <v>44</v>
      </c>
      <c r="E58" t="s">
        <v>41</v>
      </c>
      <c r="F58" t="s">
        <v>22</v>
      </c>
      <c r="G58">
        <f t="shared" si="0"/>
        <v>2</v>
      </c>
      <c r="H58" t="s">
        <v>13</v>
      </c>
      <c r="I58" t="s">
        <v>42</v>
      </c>
      <c r="J58" t="s">
        <v>15</v>
      </c>
      <c r="K58" t="e">
        <f>VLOOKUP(J58,#REF!,2,FALSE)</f>
        <v>#REF!</v>
      </c>
      <c r="L58" t="s">
        <v>117</v>
      </c>
      <c r="M58" t="s">
        <v>17</v>
      </c>
    </row>
    <row r="59" spans="1:13" x14ac:dyDescent="0.25">
      <c r="A59" t="s">
        <v>118</v>
      </c>
      <c r="B59" t="s">
        <v>54</v>
      </c>
      <c r="C59" t="e">
        <f>VLOOKUP(B59,#REF!,2,FALSE)</f>
        <v>#REF!</v>
      </c>
      <c r="D59">
        <v>36</v>
      </c>
      <c r="E59" t="s">
        <v>41</v>
      </c>
      <c r="F59" t="s">
        <v>22</v>
      </c>
      <c r="G59">
        <f t="shared" si="0"/>
        <v>2</v>
      </c>
      <c r="H59" t="s">
        <v>13</v>
      </c>
      <c r="I59" t="s">
        <v>42</v>
      </c>
      <c r="J59" t="s">
        <v>47</v>
      </c>
      <c r="K59" t="e">
        <f>VLOOKUP(J59,#REF!,2,FALSE)</f>
        <v>#REF!</v>
      </c>
      <c r="L59" t="s">
        <v>16</v>
      </c>
      <c r="M59" t="s">
        <v>26</v>
      </c>
    </row>
    <row r="60" spans="1:13" x14ac:dyDescent="0.25">
      <c r="A60" t="s">
        <v>119</v>
      </c>
      <c r="B60" t="s">
        <v>10</v>
      </c>
      <c r="C60" t="e">
        <f>VLOOKUP(B60,#REF!,2,FALSE)</f>
        <v>#REF!</v>
      </c>
      <c r="D60">
        <v>16</v>
      </c>
      <c r="E60" t="s">
        <v>11</v>
      </c>
      <c r="F60" t="s">
        <v>12</v>
      </c>
      <c r="G60">
        <f t="shared" si="0"/>
        <v>1</v>
      </c>
      <c r="H60" t="s">
        <v>13</v>
      </c>
      <c r="I60" t="s">
        <v>19</v>
      </c>
      <c r="J60" t="s">
        <v>15</v>
      </c>
      <c r="K60" t="e">
        <f>VLOOKUP(J60,#REF!,2,FALSE)</f>
        <v>#REF!</v>
      </c>
      <c r="L60" t="s">
        <v>19</v>
      </c>
      <c r="M60" t="s">
        <v>26</v>
      </c>
    </row>
    <row r="61" spans="1:13" x14ac:dyDescent="0.25">
      <c r="A61" t="s">
        <v>120</v>
      </c>
      <c r="B61" t="s">
        <v>10</v>
      </c>
      <c r="C61" t="e">
        <f>VLOOKUP(B61,#REF!,2,FALSE)</f>
        <v>#REF!</v>
      </c>
      <c r="D61">
        <v>17</v>
      </c>
      <c r="E61" t="s">
        <v>11</v>
      </c>
      <c r="F61" t="s">
        <v>22</v>
      </c>
      <c r="G61">
        <f t="shared" si="0"/>
        <v>2</v>
      </c>
      <c r="H61" t="s">
        <v>13</v>
      </c>
      <c r="I61" t="s">
        <v>42</v>
      </c>
      <c r="J61" t="s">
        <v>15</v>
      </c>
      <c r="K61" t="e">
        <f>VLOOKUP(J61,#REF!,2,FALSE)</f>
        <v>#REF!</v>
      </c>
      <c r="L61" t="s">
        <v>16</v>
      </c>
      <c r="M61" t="s">
        <v>17</v>
      </c>
    </row>
    <row r="62" spans="1:13" x14ac:dyDescent="0.25">
      <c r="A62" t="s">
        <v>121</v>
      </c>
      <c r="B62" t="s">
        <v>10</v>
      </c>
      <c r="C62" t="e">
        <f>VLOOKUP(B62,#REF!,2,FALSE)</f>
        <v>#REF!</v>
      </c>
      <c r="D62">
        <v>16</v>
      </c>
      <c r="E62" t="s">
        <v>11</v>
      </c>
      <c r="F62" t="s">
        <v>22</v>
      </c>
      <c r="G62">
        <f t="shared" si="0"/>
        <v>2</v>
      </c>
      <c r="H62" t="s">
        <v>13</v>
      </c>
      <c r="I62" t="s">
        <v>19</v>
      </c>
      <c r="J62" t="s">
        <v>24</v>
      </c>
      <c r="K62" t="e">
        <f>VLOOKUP(J62,#REF!,2,FALSE)</f>
        <v>#REF!</v>
      </c>
      <c r="L62" t="s">
        <v>67</v>
      </c>
      <c r="M62" t="s">
        <v>26</v>
      </c>
    </row>
    <row r="63" spans="1:13" x14ac:dyDescent="0.25">
      <c r="A63" t="s">
        <v>122</v>
      </c>
      <c r="B63" t="s">
        <v>10</v>
      </c>
      <c r="C63" t="e">
        <f>VLOOKUP(B63,#REF!,2,FALSE)</f>
        <v>#REF!</v>
      </c>
      <c r="D63">
        <v>18</v>
      </c>
      <c r="E63" t="s">
        <v>11</v>
      </c>
      <c r="F63" t="s">
        <v>22</v>
      </c>
      <c r="G63">
        <f t="shared" si="0"/>
        <v>2</v>
      </c>
      <c r="H63" t="s">
        <v>23</v>
      </c>
      <c r="I63" t="s">
        <v>123</v>
      </c>
      <c r="J63" t="s">
        <v>15</v>
      </c>
      <c r="K63" t="e">
        <f>VLOOKUP(J63,#REF!,2,FALSE)</f>
        <v>#REF!</v>
      </c>
      <c r="L63" t="s">
        <v>16</v>
      </c>
      <c r="M63" t="s">
        <v>26</v>
      </c>
    </row>
    <row r="64" spans="1:13" x14ac:dyDescent="0.25">
      <c r="A64" t="s">
        <v>124</v>
      </c>
      <c r="B64" t="s">
        <v>10</v>
      </c>
      <c r="C64" t="e">
        <f>VLOOKUP(B64,#REF!,2,FALSE)</f>
        <v>#REF!</v>
      </c>
      <c r="D64">
        <v>15</v>
      </c>
      <c r="E64" t="s">
        <v>11</v>
      </c>
      <c r="F64" t="s">
        <v>22</v>
      </c>
      <c r="G64">
        <f t="shared" si="0"/>
        <v>2</v>
      </c>
      <c r="H64" t="s">
        <v>23</v>
      </c>
      <c r="I64" t="s">
        <v>125</v>
      </c>
      <c r="J64" t="s">
        <v>24</v>
      </c>
      <c r="K64" t="e">
        <f>VLOOKUP(J64,#REF!,2,FALSE)</f>
        <v>#REF!</v>
      </c>
      <c r="L64" t="s">
        <v>16</v>
      </c>
      <c r="M64" t="s">
        <v>26</v>
      </c>
    </row>
    <row r="65" spans="1:13" x14ac:dyDescent="0.25">
      <c r="A65" t="s">
        <v>126</v>
      </c>
      <c r="B65" t="s">
        <v>10</v>
      </c>
      <c r="C65" t="e">
        <f>VLOOKUP(B65,#REF!,2,FALSE)</f>
        <v>#REF!</v>
      </c>
      <c r="D65">
        <v>18</v>
      </c>
      <c r="E65" t="s">
        <v>11</v>
      </c>
      <c r="F65" t="s">
        <v>22</v>
      </c>
      <c r="G65">
        <f t="shared" si="0"/>
        <v>2</v>
      </c>
      <c r="H65" t="s">
        <v>23</v>
      </c>
      <c r="I65" t="s">
        <v>30</v>
      </c>
      <c r="J65" t="s">
        <v>24</v>
      </c>
      <c r="K65" t="e">
        <f>VLOOKUP(J65,#REF!,2,FALSE)</f>
        <v>#REF!</v>
      </c>
      <c r="L65" t="s">
        <v>60</v>
      </c>
      <c r="M65" t="s">
        <v>26</v>
      </c>
    </row>
    <row r="66" spans="1:13" x14ac:dyDescent="0.25">
      <c r="A66" t="s">
        <v>127</v>
      </c>
      <c r="B66" t="s">
        <v>10</v>
      </c>
      <c r="C66" t="e">
        <f>VLOOKUP(B66,#REF!,2,FALSE)</f>
        <v>#REF!</v>
      </c>
      <c r="D66">
        <v>18</v>
      </c>
      <c r="E66" t="s">
        <v>11</v>
      </c>
      <c r="F66" t="s">
        <v>22</v>
      </c>
      <c r="G66">
        <f t="shared" si="0"/>
        <v>2</v>
      </c>
      <c r="I66" t="s">
        <v>30</v>
      </c>
      <c r="J66" t="s">
        <v>24</v>
      </c>
      <c r="K66" t="e">
        <f>VLOOKUP(J66,#REF!,2,FALSE)</f>
        <v>#REF!</v>
      </c>
      <c r="L66" t="s">
        <v>128</v>
      </c>
      <c r="M66" t="s">
        <v>26</v>
      </c>
    </row>
    <row r="67" spans="1:13" x14ac:dyDescent="0.25">
      <c r="A67" t="s">
        <v>129</v>
      </c>
      <c r="B67" t="s">
        <v>10</v>
      </c>
      <c r="C67" t="e">
        <f>VLOOKUP(B67,#REF!,2,FALSE)</f>
        <v>#REF!</v>
      </c>
      <c r="D67">
        <v>17</v>
      </c>
      <c r="E67" t="s">
        <v>11</v>
      </c>
      <c r="F67" t="s">
        <v>22</v>
      </c>
      <c r="G67">
        <f t="shared" ref="G67:G129" si="1">IF(EXACT(F67,"Weiblich"),2,1)</f>
        <v>2</v>
      </c>
      <c r="H67" t="s">
        <v>23</v>
      </c>
      <c r="I67" t="s">
        <v>42</v>
      </c>
      <c r="J67" t="s">
        <v>24</v>
      </c>
      <c r="K67" t="e">
        <f>VLOOKUP(J67,#REF!,2,FALSE)</f>
        <v>#REF!</v>
      </c>
      <c r="L67" t="s">
        <v>60</v>
      </c>
      <c r="M67" t="s">
        <v>17</v>
      </c>
    </row>
    <row r="68" spans="1:13" x14ac:dyDescent="0.25">
      <c r="A68" t="s">
        <v>130</v>
      </c>
      <c r="B68" t="s">
        <v>10</v>
      </c>
      <c r="C68" t="e">
        <f>VLOOKUP(B68,#REF!,2,FALSE)</f>
        <v>#REF!</v>
      </c>
      <c r="D68">
        <v>16</v>
      </c>
      <c r="E68" t="s">
        <v>11</v>
      </c>
      <c r="F68" t="s">
        <v>22</v>
      </c>
      <c r="G68">
        <f t="shared" si="1"/>
        <v>2</v>
      </c>
      <c r="H68" t="s">
        <v>13</v>
      </c>
      <c r="I68" t="s">
        <v>30</v>
      </c>
      <c r="J68" t="s">
        <v>24</v>
      </c>
      <c r="K68" t="e">
        <f>VLOOKUP(J68,#REF!,2,FALSE)</f>
        <v>#REF!</v>
      </c>
      <c r="L68" t="s">
        <v>131</v>
      </c>
      <c r="M68" t="s">
        <v>17</v>
      </c>
    </row>
    <row r="69" spans="1:13" x14ac:dyDescent="0.25">
      <c r="A69" t="s">
        <v>132</v>
      </c>
      <c r="B69" t="s">
        <v>10</v>
      </c>
      <c r="C69" t="e">
        <f>VLOOKUP(B69,#REF!,2,FALSE)</f>
        <v>#REF!</v>
      </c>
      <c r="D69">
        <v>16</v>
      </c>
      <c r="E69" t="s">
        <v>11</v>
      </c>
      <c r="F69" t="s">
        <v>22</v>
      </c>
      <c r="G69">
        <f t="shared" si="1"/>
        <v>2</v>
      </c>
      <c r="H69" t="s">
        <v>13</v>
      </c>
      <c r="I69" t="s">
        <v>42</v>
      </c>
      <c r="J69" t="s">
        <v>43</v>
      </c>
      <c r="K69" t="e">
        <f>VLOOKUP(J69,#REF!,2,FALSE)</f>
        <v>#REF!</v>
      </c>
      <c r="L69" t="s">
        <v>16</v>
      </c>
      <c r="M69" t="s">
        <v>26</v>
      </c>
    </row>
    <row r="70" spans="1:13" x14ac:dyDescent="0.25">
      <c r="A70" t="s">
        <v>133</v>
      </c>
      <c r="B70" t="s">
        <v>21</v>
      </c>
      <c r="C70" t="e">
        <f>VLOOKUP(B70,#REF!,2,FALSE)</f>
        <v>#REF!</v>
      </c>
      <c r="D70">
        <v>11</v>
      </c>
      <c r="E70" t="s">
        <v>11</v>
      </c>
      <c r="F70" t="s">
        <v>22</v>
      </c>
      <c r="G70">
        <f t="shared" si="1"/>
        <v>2</v>
      </c>
      <c r="H70" t="s">
        <v>13</v>
      </c>
      <c r="I70" t="s">
        <v>134</v>
      </c>
      <c r="J70" t="s">
        <v>47</v>
      </c>
      <c r="K70" t="e">
        <f>VLOOKUP(J70,#REF!,2,FALSE)</f>
        <v>#REF!</v>
      </c>
      <c r="L70" t="s">
        <v>135</v>
      </c>
      <c r="M70" t="s">
        <v>26</v>
      </c>
    </row>
    <row r="71" spans="1:13" x14ac:dyDescent="0.25">
      <c r="A71" t="s">
        <v>136</v>
      </c>
      <c r="B71" t="s">
        <v>10</v>
      </c>
      <c r="C71" t="e">
        <f>VLOOKUP(B71,#REF!,2,FALSE)</f>
        <v>#REF!</v>
      </c>
      <c r="D71">
        <v>15</v>
      </c>
      <c r="E71" t="s">
        <v>11</v>
      </c>
      <c r="F71" t="s">
        <v>12</v>
      </c>
      <c r="G71">
        <f t="shared" si="1"/>
        <v>1</v>
      </c>
      <c r="H71" t="s">
        <v>13</v>
      </c>
      <c r="I71" t="s">
        <v>137</v>
      </c>
      <c r="J71" t="s">
        <v>47</v>
      </c>
      <c r="K71" t="e">
        <f>VLOOKUP(J71,#REF!,2,FALSE)</f>
        <v>#REF!</v>
      </c>
      <c r="L71" t="s">
        <v>138</v>
      </c>
    </row>
    <row r="72" spans="1:13" x14ac:dyDescent="0.25">
      <c r="A72" t="s">
        <v>139</v>
      </c>
      <c r="B72" t="s">
        <v>21</v>
      </c>
      <c r="C72" t="e">
        <f>VLOOKUP(B72,#REF!,2,FALSE)</f>
        <v>#REF!</v>
      </c>
      <c r="D72">
        <v>13</v>
      </c>
      <c r="E72" t="s">
        <v>11</v>
      </c>
      <c r="F72" t="s">
        <v>22</v>
      </c>
      <c r="G72">
        <f t="shared" si="1"/>
        <v>2</v>
      </c>
      <c r="H72" t="s">
        <v>13</v>
      </c>
      <c r="I72" t="s">
        <v>14</v>
      </c>
      <c r="J72" t="s">
        <v>24</v>
      </c>
      <c r="K72" t="e">
        <f>VLOOKUP(J72,#REF!,2,FALSE)</f>
        <v>#REF!</v>
      </c>
      <c r="L72" t="s">
        <v>16</v>
      </c>
      <c r="M72" t="s">
        <v>26</v>
      </c>
    </row>
    <row r="73" spans="1:13" x14ac:dyDescent="0.25">
      <c r="A73" t="s">
        <v>140</v>
      </c>
      <c r="B73" t="s">
        <v>10</v>
      </c>
      <c r="C73" t="e">
        <f>VLOOKUP(B73,#REF!,2,FALSE)</f>
        <v>#REF!</v>
      </c>
      <c r="D73">
        <v>18</v>
      </c>
      <c r="E73" t="s">
        <v>11</v>
      </c>
      <c r="F73" t="s">
        <v>12</v>
      </c>
      <c r="G73">
        <f t="shared" si="1"/>
        <v>1</v>
      </c>
      <c r="I73" t="s">
        <v>141</v>
      </c>
      <c r="J73" t="s">
        <v>15</v>
      </c>
      <c r="K73" t="e">
        <f>VLOOKUP(J73,#REF!,2,FALSE)</f>
        <v>#REF!</v>
      </c>
      <c r="L73" t="s">
        <v>142</v>
      </c>
    </row>
    <row r="74" spans="1:13" x14ac:dyDescent="0.25">
      <c r="A74" t="s">
        <v>143</v>
      </c>
      <c r="B74" t="s">
        <v>10</v>
      </c>
      <c r="C74" t="e">
        <f>VLOOKUP(B74,#REF!,2,FALSE)</f>
        <v>#REF!</v>
      </c>
      <c r="D74">
        <v>16</v>
      </c>
      <c r="E74" t="s">
        <v>11</v>
      </c>
      <c r="F74" t="s">
        <v>22</v>
      </c>
      <c r="G74">
        <f t="shared" si="1"/>
        <v>2</v>
      </c>
      <c r="H74" t="s">
        <v>23</v>
      </c>
      <c r="I74" t="s">
        <v>30</v>
      </c>
      <c r="J74" t="s">
        <v>43</v>
      </c>
      <c r="K74" t="e">
        <f>VLOOKUP(J74,#REF!,2,FALSE)</f>
        <v>#REF!</v>
      </c>
      <c r="L74" t="s">
        <v>16</v>
      </c>
      <c r="M74" t="s">
        <v>26</v>
      </c>
    </row>
    <row r="75" spans="1:13" x14ac:dyDescent="0.25">
      <c r="A75" t="s">
        <v>144</v>
      </c>
      <c r="B75" t="s">
        <v>21</v>
      </c>
      <c r="C75" t="e">
        <f>VLOOKUP(B75,#REF!,2,FALSE)</f>
        <v>#REF!</v>
      </c>
      <c r="D75">
        <v>14</v>
      </c>
      <c r="E75" t="s">
        <v>11</v>
      </c>
      <c r="F75" t="s">
        <v>22</v>
      </c>
      <c r="G75">
        <f t="shared" si="1"/>
        <v>2</v>
      </c>
      <c r="H75" t="s">
        <v>13</v>
      </c>
      <c r="I75" t="s">
        <v>14</v>
      </c>
      <c r="J75" t="s">
        <v>15</v>
      </c>
      <c r="K75" t="e">
        <f>VLOOKUP(J75,#REF!,2,FALSE)</f>
        <v>#REF!</v>
      </c>
      <c r="L75" t="s">
        <v>16</v>
      </c>
      <c r="M75" t="s">
        <v>17</v>
      </c>
    </row>
    <row r="76" spans="1:13" x14ac:dyDescent="0.25">
      <c r="A76" t="s">
        <v>145</v>
      </c>
      <c r="B76" t="s">
        <v>21</v>
      </c>
      <c r="C76" t="e">
        <f>VLOOKUP(B76,#REF!,2,FALSE)</f>
        <v>#REF!</v>
      </c>
      <c r="D76">
        <v>11</v>
      </c>
      <c r="E76" t="s">
        <v>11</v>
      </c>
      <c r="F76" t="s">
        <v>22</v>
      </c>
      <c r="G76">
        <f t="shared" si="1"/>
        <v>2</v>
      </c>
      <c r="H76" t="s">
        <v>13</v>
      </c>
      <c r="I76" t="s">
        <v>30</v>
      </c>
      <c r="J76" t="s">
        <v>15</v>
      </c>
      <c r="K76" t="e">
        <f>VLOOKUP(J76,#REF!,2,FALSE)</f>
        <v>#REF!</v>
      </c>
      <c r="L76" t="s">
        <v>67</v>
      </c>
      <c r="M76" t="s">
        <v>26</v>
      </c>
    </row>
    <row r="77" spans="1:13" x14ac:dyDescent="0.25">
      <c r="A77" t="s">
        <v>146</v>
      </c>
      <c r="B77" t="s">
        <v>21</v>
      </c>
      <c r="C77" t="e">
        <f>VLOOKUP(B77,#REF!,2,FALSE)</f>
        <v>#REF!</v>
      </c>
      <c r="D77">
        <v>13</v>
      </c>
      <c r="E77" t="s">
        <v>11</v>
      </c>
      <c r="F77" t="s">
        <v>12</v>
      </c>
      <c r="G77">
        <f t="shared" si="1"/>
        <v>1</v>
      </c>
      <c r="H77" t="s">
        <v>13</v>
      </c>
      <c r="I77" t="s">
        <v>19</v>
      </c>
      <c r="J77" t="s">
        <v>24</v>
      </c>
      <c r="K77" t="e">
        <f>VLOOKUP(J77,#REF!,2,FALSE)</f>
        <v>#REF!</v>
      </c>
      <c r="L77" t="s">
        <v>147</v>
      </c>
      <c r="M77" t="s">
        <v>26</v>
      </c>
    </row>
    <row r="78" spans="1:13" x14ac:dyDescent="0.25">
      <c r="A78" t="s">
        <v>148</v>
      </c>
      <c r="B78" t="s">
        <v>21</v>
      </c>
      <c r="C78" t="e">
        <f>VLOOKUP(B78,#REF!,2,FALSE)</f>
        <v>#REF!</v>
      </c>
      <c r="D78">
        <v>13</v>
      </c>
      <c r="E78" t="s">
        <v>11</v>
      </c>
      <c r="F78" t="s">
        <v>22</v>
      </c>
      <c r="G78">
        <f t="shared" si="1"/>
        <v>2</v>
      </c>
      <c r="H78" t="s">
        <v>13</v>
      </c>
      <c r="I78" t="s">
        <v>14</v>
      </c>
      <c r="J78" t="s">
        <v>24</v>
      </c>
      <c r="K78" t="e">
        <f>VLOOKUP(J78,#REF!,2,FALSE)</f>
        <v>#REF!</v>
      </c>
      <c r="L78" t="s">
        <v>16</v>
      </c>
      <c r="M78" t="s">
        <v>26</v>
      </c>
    </row>
    <row r="79" spans="1:13" x14ac:dyDescent="0.25">
      <c r="A79" t="s">
        <v>149</v>
      </c>
      <c r="B79" t="s">
        <v>10</v>
      </c>
      <c r="C79" t="e">
        <f>VLOOKUP(B79,#REF!,2,FALSE)</f>
        <v>#REF!</v>
      </c>
      <c r="D79">
        <v>15</v>
      </c>
      <c r="E79" t="s">
        <v>11</v>
      </c>
      <c r="F79" t="s">
        <v>22</v>
      </c>
      <c r="G79">
        <f t="shared" si="1"/>
        <v>2</v>
      </c>
      <c r="H79" t="s">
        <v>23</v>
      </c>
      <c r="I79" t="s">
        <v>30</v>
      </c>
      <c r="J79" t="s">
        <v>47</v>
      </c>
      <c r="K79" t="e">
        <f>VLOOKUP(J79,#REF!,2,FALSE)</f>
        <v>#REF!</v>
      </c>
      <c r="L79" t="s">
        <v>16</v>
      </c>
      <c r="M79" t="s">
        <v>26</v>
      </c>
    </row>
    <row r="80" spans="1:13" x14ac:dyDescent="0.25">
      <c r="A80" t="s">
        <v>150</v>
      </c>
      <c r="B80" t="s">
        <v>21</v>
      </c>
      <c r="C80" t="e">
        <f>VLOOKUP(B80,#REF!,2,FALSE)</f>
        <v>#REF!</v>
      </c>
      <c r="D80">
        <v>14</v>
      </c>
      <c r="E80" t="s">
        <v>11</v>
      </c>
      <c r="F80" t="s">
        <v>12</v>
      </c>
      <c r="G80">
        <f t="shared" si="1"/>
        <v>1</v>
      </c>
      <c r="H80" t="s">
        <v>23</v>
      </c>
      <c r="I80" t="s">
        <v>19</v>
      </c>
      <c r="J80" t="s">
        <v>24</v>
      </c>
      <c r="K80" t="e">
        <f>VLOOKUP(J80,#REF!,2,FALSE)</f>
        <v>#REF!</v>
      </c>
      <c r="L80" t="s">
        <v>50</v>
      </c>
      <c r="M80" t="s">
        <v>26</v>
      </c>
    </row>
    <row r="81" spans="1:13" x14ac:dyDescent="0.25">
      <c r="A81" t="s">
        <v>151</v>
      </c>
      <c r="B81" t="s">
        <v>21</v>
      </c>
      <c r="C81" t="e">
        <f>VLOOKUP(B81,#REF!,2,FALSE)</f>
        <v>#REF!</v>
      </c>
      <c r="D81">
        <v>14</v>
      </c>
      <c r="E81" t="s">
        <v>11</v>
      </c>
      <c r="F81" t="s">
        <v>22</v>
      </c>
      <c r="G81">
        <f t="shared" si="1"/>
        <v>2</v>
      </c>
      <c r="H81" t="s">
        <v>13</v>
      </c>
      <c r="I81" t="s">
        <v>30</v>
      </c>
      <c r="J81" t="s">
        <v>24</v>
      </c>
      <c r="K81" t="e">
        <f>VLOOKUP(J81,#REF!,2,FALSE)</f>
        <v>#REF!</v>
      </c>
      <c r="L81" t="s">
        <v>67</v>
      </c>
      <c r="M81" t="s">
        <v>26</v>
      </c>
    </row>
    <row r="82" spans="1:13" x14ac:dyDescent="0.25">
      <c r="A82" t="s">
        <v>152</v>
      </c>
      <c r="B82" t="s">
        <v>21</v>
      </c>
      <c r="C82" t="e">
        <f>VLOOKUP(B82,#REF!,2,FALSE)</f>
        <v>#REF!</v>
      </c>
      <c r="D82">
        <v>11</v>
      </c>
      <c r="E82" t="s">
        <v>11</v>
      </c>
      <c r="F82" t="s">
        <v>22</v>
      </c>
      <c r="G82">
        <f t="shared" si="1"/>
        <v>2</v>
      </c>
      <c r="H82" t="s">
        <v>13</v>
      </c>
      <c r="I82" t="s">
        <v>14</v>
      </c>
      <c r="J82" t="s">
        <v>15</v>
      </c>
      <c r="K82" t="e">
        <f>VLOOKUP(J82,#REF!,2,FALSE)</f>
        <v>#REF!</v>
      </c>
      <c r="L82" t="s">
        <v>16</v>
      </c>
      <c r="M82" t="s">
        <v>26</v>
      </c>
    </row>
    <row r="83" spans="1:13" x14ac:dyDescent="0.25">
      <c r="A83" t="s">
        <v>153</v>
      </c>
      <c r="B83" t="s">
        <v>10</v>
      </c>
      <c r="C83" t="e">
        <f>VLOOKUP(B83,#REF!,2,FALSE)</f>
        <v>#REF!</v>
      </c>
      <c r="D83">
        <v>18</v>
      </c>
      <c r="E83" t="s">
        <v>11</v>
      </c>
      <c r="F83" t="s">
        <v>22</v>
      </c>
      <c r="G83">
        <f t="shared" si="1"/>
        <v>2</v>
      </c>
      <c r="H83" t="s">
        <v>13</v>
      </c>
      <c r="I83" t="s">
        <v>154</v>
      </c>
      <c r="J83" t="s">
        <v>24</v>
      </c>
      <c r="K83" t="e">
        <f>VLOOKUP(J83,#REF!,2,FALSE)</f>
        <v>#REF!</v>
      </c>
      <c r="L83" t="s">
        <v>155</v>
      </c>
      <c r="M83" t="s">
        <v>17</v>
      </c>
    </row>
    <row r="84" spans="1:13" x14ac:dyDescent="0.25">
      <c r="A84" t="s">
        <v>156</v>
      </c>
      <c r="B84" t="s">
        <v>21</v>
      </c>
      <c r="C84" t="e">
        <f>VLOOKUP(B84,#REF!,2,FALSE)</f>
        <v>#REF!</v>
      </c>
      <c r="D84">
        <v>11</v>
      </c>
      <c r="E84" t="s">
        <v>11</v>
      </c>
      <c r="F84" t="s">
        <v>22</v>
      </c>
      <c r="G84">
        <f t="shared" si="1"/>
        <v>2</v>
      </c>
      <c r="H84" t="s">
        <v>13</v>
      </c>
      <c r="I84" t="s">
        <v>14</v>
      </c>
      <c r="J84" t="s">
        <v>47</v>
      </c>
      <c r="K84" t="e">
        <f>VLOOKUP(J84,#REF!,2,FALSE)</f>
        <v>#REF!</v>
      </c>
      <c r="L84" t="s">
        <v>67</v>
      </c>
      <c r="M84" t="s">
        <v>26</v>
      </c>
    </row>
    <row r="85" spans="1:13" x14ac:dyDescent="0.25">
      <c r="A85" t="s">
        <v>157</v>
      </c>
      <c r="B85" t="s">
        <v>54</v>
      </c>
      <c r="C85" t="e">
        <f>VLOOKUP(B85,#REF!,2,FALSE)</f>
        <v>#REF!</v>
      </c>
      <c r="D85">
        <v>44</v>
      </c>
      <c r="E85" t="s">
        <v>41</v>
      </c>
      <c r="F85" t="s">
        <v>22</v>
      </c>
      <c r="G85">
        <f t="shared" si="1"/>
        <v>2</v>
      </c>
      <c r="H85" t="s">
        <v>23</v>
      </c>
      <c r="I85" t="s">
        <v>30</v>
      </c>
      <c r="J85" t="s">
        <v>47</v>
      </c>
      <c r="K85" t="e">
        <f>VLOOKUP(J85,#REF!,2,FALSE)</f>
        <v>#REF!</v>
      </c>
      <c r="L85" t="s">
        <v>60</v>
      </c>
      <c r="M85" t="s">
        <v>26</v>
      </c>
    </row>
    <row r="86" spans="1:13" x14ac:dyDescent="0.25">
      <c r="A86" t="s">
        <v>158</v>
      </c>
      <c r="B86" t="s">
        <v>21</v>
      </c>
      <c r="C86" t="e">
        <f>VLOOKUP(B86,#REF!,2,FALSE)</f>
        <v>#REF!</v>
      </c>
      <c r="D86">
        <v>11</v>
      </c>
      <c r="E86" t="s">
        <v>11</v>
      </c>
      <c r="F86" t="s">
        <v>22</v>
      </c>
      <c r="G86">
        <f t="shared" si="1"/>
        <v>2</v>
      </c>
      <c r="H86" t="s">
        <v>13</v>
      </c>
      <c r="I86" t="s">
        <v>30</v>
      </c>
      <c r="J86" t="s">
        <v>24</v>
      </c>
      <c r="K86" t="e">
        <f>VLOOKUP(J86,#REF!,2,FALSE)</f>
        <v>#REF!</v>
      </c>
      <c r="L86" t="s">
        <v>67</v>
      </c>
      <c r="M86" t="s">
        <v>17</v>
      </c>
    </row>
    <row r="87" spans="1:13" x14ac:dyDescent="0.25">
      <c r="A87" t="s">
        <v>159</v>
      </c>
      <c r="B87" t="s">
        <v>10</v>
      </c>
      <c r="C87" t="e">
        <f>VLOOKUP(B87,#REF!,2,FALSE)</f>
        <v>#REF!</v>
      </c>
      <c r="D87">
        <v>18</v>
      </c>
      <c r="E87" t="s">
        <v>11</v>
      </c>
      <c r="F87" t="s">
        <v>12</v>
      </c>
      <c r="G87">
        <f t="shared" si="1"/>
        <v>1</v>
      </c>
      <c r="H87" t="s">
        <v>13</v>
      </c>
      <c r="I87" t="s">
        <v>160</v>
      </c>
      <c r="J87" t="s">
        <v>47</v>
      </c>
      <c r="K87" t="e">
        <f>VLOOKUP(J87,#REF!,2,FALSE)</f>
        <v>#REF!</v>
      </c>
      <c r="L87" t="s">
        <v>161</v>
      </c>
      <c r="M87" t="s">
        <v>26</v>
      </c>
    </row>
    <row r="88" spans="1:13" x14ac:dyDescent="0.25">
      <c r="A88" t="s">
        <v>162</v>
      </c>
      <c r="B88" t="s">
        <v>10</v>
      </c>
      <c r="C88" t="e">
        <f>VLOOKUP(B88,#REF!,2,FALSE)</f>
        <v>#REF!</v>
      </c>
      <c r="D88">
        <v>18</v>
      </c>
      <c r="E88" t="s">
        <v>11</v>
      </c>
      <c r="F88" t="s">
        <v>12</v>
      </c>
      <c r="G88">
        <f t="shared" si="1"/>
        <v>1</v>
      </c>
      <c r="H88" t="s">
        <v>23</v>
      </c>
      <c r="I88" t="s">
        <v>163</v>
      </c>
      <c r="J88" t="s">
        <v>15</v>
      </c>
      <c r="K88" t="e">
        <f>VLOOKUP(J88,#REF!,2,FALSE)</f>
        <v>#REF!</v>
      </c>
      <c r="L88" t="s">
        <v>16</v>
      </c>
      <c r="M88" t="s">
        <v>26</v>
      </c>
    </row>
    <row r="89" spans="1:13" x14ac:dyDescent="0.25">
      <c r="A89" t="s">
        <v>164</v>
      </c>
      <c r="B89" t="s">
        <v>21</v>
      </c>
      <c r="C89" t="e">
        <f>VLOOKUP(B89,#REF!,2,FALSE)</f>
        <v>#REF!</v>
      </c>
      <c r="D89">
        <v>12</v>
      </c>
      <c r="E89" t="s">
        <v>11</v>
      </c>
      <c r="F89" t="s">
        <v>12</v>
      </c>
      <c r="G89">
        <f t="shared" si="1"/>
        <v>1</v>
      </c>
      <c r="H89" t="s">
        <v>23</v>
      </c>
      <c r="I89" t="s">
        <v>30</v>
      </c>
      <c r="J89" t="s">
        <v>15</v>
      </c>
      <c r="K89" t="e">
        <f>VLOOKUP(J89,#REF!,2,FALSE)</f>
        <v>#REF!</v>
      </c>
      <c r="L89" t="s">
        <v>16</v>
      </c>
      <c r="M89" t="s">
        <v>26</v>
      </c>
    </row>
    <row r="90" spans="1:13" x14ac:dyDescent="0.25">
      <c r="A90" t="s">
        <v>165</v>
      </c>
      <c r="B90" t="s">
        <v>10</v>
      </c>
      <c r="C90" t="e">
        <f>VLOOKUP(B90,#REF!,2,FALSE)</f>
        <v>#REF!</v>
      </c>
      <c r="D90">
        <v>18</v>
      </c>
      <c r="E90" t="s">
        <v>11</v>
      </c>
      <c r="F90" t="s">
        <v>22</v>
      </c>
      <c r="G90">
        <f t="shared" si="1"/>
        <v>2</v>
      </c>
      <c r="H90" t="s">
        <v>13</v>
      </c>
      <c r="I90" t="s">
        <v>14</v>
      </c>
      <c r="J90" t="s">
        <v>24</v>
      </c>
      <c r="K90" t="e">
        <f>VLOOKUP(J90,#REF!,2,FALSE)</f>
        <v>#REF!</v>
      </c>
      <c r="L90" t="s">
        <v>16</v>
      </c>
      <c r="M90" t="s">
        <v>26</v>
      </c>
    </row>
    <row r="91" spans="1:13" x14ac:dyDescent="0.25">
      <c r="A91" t="s">
        <v>166</v>
      </c>
      <c r="B91" t="s">
        <v>10</v>
      </c>
      <c r="C91" t="e">
        <f>VLOOKUP(B91,#REF!,2,FALSE)</f>
        <v>#REF!</v>
      </c>
      <c r="D91">
        <v>15</v>
      </c>
      <c r="E91" t="s">
        <v>11</v>
      </c>
      <c r="F91" t="s">
        <v>12</v>
      </c>
      <c r="G91">
        <f t="shared" si="1"/>
        <v>1</v>
      </c>
      <c r="H91" t="s">
        <v>13</v>
      </c>
      <c r="I91" t="s">
        <v>14</v>
      </c>
      <c r="J91" t="s">
        <v>43</v>
      </c>
      <c r="K91" t="e">
        <f>VLOOKUP(J91,#REF!,2,FALSE)</f>
        <v>#REF!</v>
      </c>
      <c r="L91" t="s">
        <v>16</v>
      </c>
      <c r="M91" t="s">
        <v>26</v>
      </c>
    </row>
    <row r="92" spans="1:13" x14ac:dyDescent="0.25">
      <c r="A92" t="s">
        <v>167</v>
      </c>
      <c r="B92" t="s">
        <v>10</v>
      </c>
      <c r="C92" t="e">
        <f>VLOOKUP(B92,#REF!,2,FALSE)</f>
        <v>#REF!</v>
      </c>
      <c r="D92">
        <v>16</v>
      </c>
      <c r="E92" t="s">
        <v>11</v>
      </c>
      <c r="F92" t="s">
        <v>22</v>
      </c>
      <c r="G92">
        <f t="shared" si="1"/>
        <v>2</v>
      </c>
      <c r="H92" t="s">
        <v>13</v>
      </c>
      <c r="I92" t="s">
        <v>30</v>
      </c>
      <c r="J92" t="s">
        <v>24</v>
      </c>
      <c r="K92" t="e">
        <f>VLOOKUP(J92,#REF!,2,FALSE)</f>
        <v>#REF!</v>
      </c>
      <c r="L92" t="s">
        <v>67</v>
      </c>
      <c r="M92" t="s">
        <v>26</v>
      </c>
    </row>
    <row r="93" spans="1:13" x14ac:dyDescent="0.25">
      <c r="A93" t="s">
        <v>168</v>
      </c>
      <c r="B93" t="s">
        <v>10</v>
      </c>
      <c r="C93" t="e">
        <f>VLOOKUP(B93,#REF!,2,FALSE)</f>
        <v>#REF!</v>
      </c>
      <c r="D93">
        <v>17</v>
      </c>
      <c r="E93" t="s">
        <v>11</v>
      </c>
      <c r="F93" t="s">
        <v>22</v>
      </c>
      <c r="G93">
        <f t="shared" si="1"/>
        <v>2</v>
      </c>
      <c r="H93" t="s">
        <v>13</v>
      </c>
      <c r="I93" t="s">
        <v>42</v>
      </c>
      <c r="J93" t="s">
        <v>47</v>
      </c>
      <c r="K93" t="e">
        <f>VLOOKUP(J93,#REF!,2,FALSE)</f>
        <v>#REF!</v>
      </c>
      <c r="L93" t="s">
        <v>16</v>
      </c>
      <c r="M93" t="s">
        <v>26</v>
      </c>
    </row>
    <row r="94" spans="1:13" x14ac:dyDescent="0.25">
      <c r="A94" t="s">
        <v>169</v>
      </c>
      <c r="B94" t="s">
        <v>21</v>
      </c>
      <c r="C94" t="e">
        <f>VLOOKUP(B94,#REF!,2,FALSE)</f>
        <v>#REF!</v>
      </c>
      <c r="D94">
        <v>12</v>
      </c>
      <c r="E94" t="s">
        <v>11</v>
      </c>
      <c r="F94" t="s">
        <v>12</v>
      </c>
      <c r="G94">
        <f t="shared" si="1"/>
        <v>1</v>
      </c>
      <c r="H94" t="s">
        <v>13</v>
      </c>
      <c r="I94" t="s">
        <v>14</v>
      </c>
      <c r="J94" t="s">
        <v>24</v>
      </c>
      <c r="K94" t="e">
        <f>VLOOKUP(J94,#REF!,2,FALSE)</f>
        <v>#REF!</v>
      </c>
      <c r="L94" t="s">
        <v>60</v>
      </c>
      <c r="M94" t="s">
        <v>26</v>
      </c>
    </row>
    <row r="95" spans="1:13" x14ac:dyDescent="0.25">
      <c r="A95" t="s">
        <v>170</v>
      </c>
      <c r="B95" t="s">
        <v>10</v>
      </c>
      <c r="C95" t="e">
        <f>VLOOKUP(B95,#REF!,2,FALSE)</f>
        <v>#REF!</v>
      </c>
      <c r="D95">
        <v>16</v>
      </c>
      <c r="E95" t="s">
        <v>11</v>
      </c>
      <c r="F95" t="s">
        <v>12</v>
      </c>
      <c r="G95">
        <f t="shared" si="1"/>
        <v>1</v>
      </c>
      <c r="H95" t="s">
        <v>13</v>
      </c>
      <c r="I95" t="s">
        <v>19</v>
      </c>
      <c r="J95" t="s">
        <v>24</v>
      </c>
      <c r="K95" t="e">
        <f>VLOOKUP(J95,#REF!,2,FALSE)</f>
        <v>#REF!</v>
      </c>
      <c r="L95" t="s">
        <v>19</v>
      </c>
      <c r="M95" t="s">
        <v>26</v>
      </c>
    </row>
    <row r="96" spans="1:13" x14ac:dyDescent="0.25">
      <c r="A96" t="s">
        <v>171</v>
      </c>
      <c r="B96" t="s">
        <v>21</v>
      </c>
      <c r="C96" t="e">
        <f>VLOOKUP(B96,#REF!,2,FALSE)</f>
        <v>#REF!</v>
      </c>
      <c r="D96">
        <v>11</v>
      </c>
      <c r="E96" t="s">
        <v>11</v>
      </c>
      <c r="F96" t="s">
        <v>12</v>
      </c>
      <c r="G96">
        <f t="shared" si="1"/>
        <v>1</v>
      </c>
      <c r="H96" t="s">
        <v>23</v>
      </c>
      <c r="I96" t="s">
        <v>19</v>
      </c>
      <c r="J96" t="s">
        <v>24</v>
      </c>
      <c r="K96" t="e">
        <f>VLOOKUP(J96,#REF!,2,FALSE)</f>
        <v>#REF!</v>
      </c>
      <c r="L96" t="s">
        <v>172</v>
      </c>
      <c r="M96" t="s">
        <v>26</v>
      </c>
    </row>
    <row r="97" spans="1:13" x14ac:dyDescent="0.25">
      <c r="A97" t="s">
        <v>173</v>
      </c>
      <c r="B97" t="s">
        <v>21</v>
      </c>
      <c r="C97" t="e">
        <f>VLOOKUP(B97,#REF!,2,FALSE)</f>
        <v>#REF!</v>
      </c>
      <c r="D97">
        <v>12</v>
      </c>
      <c r="E97" t="s">
        <v>11</v>
      </c>
      <c r="F97" t="s">
        <v>22</v>
      </c>
      <c r="G97">
        <f t="shared" si="1"/>
        <v>2</v>
      </c>
      <c r="H97" t="s">
        <v>23</v>
      </c>
      <c r="I97" t="s">
        <v>14</v>
      </c>
      <c r="J97" t="s">
        <v>43</v>
      </c>
      <c r="K97" t="e">
        <f>VLOOKUP(J97,#REF!,2,FALSE)</f>
        <v>#REF!</v>
      </c>
      <c r="L97" t="s">
        <v>16</v>
      </c>
      <c r="M97" t="s">
        <v>26</v>
      </c>
    </row>
    <row r="98" spans="1:13" x14ac:dyDescent="0.25">
      <c r="A98" t="s">
        <v>174</v>
      </c>
      <c r="B98" t="s">
        <v>10</v>
      </c>
      <c r="C98" t="e">
        <f>VLOOKUP(B98,#REF!,2,FALSE)</f>
        <v>#REF!</v>
      </c>
      <c r="D98">
        <v>17</v>
      </c>
      <c r="E98" t="s">
        <v>11</v>
      </c>
      <c r="F98" t="s">
        <v>22</v>
      </c>
      <c r="G98">
        <f t="shared" si="1"/>
        <v>2</v>
      </c>
      <c r="H98" t="s">
        <v>13</v>
      </c>
      <c r="I98" t="s">
        <v>19</v>
      </c>
      <c r="J98" t="s">
        <v>24</v>
      </c>
      <c r="K98" t="e">
        <f>VLOOKUP(J98,#REF!,2,FALSE)</f>
        <v>#REF!</v>
      </c>
      <c r="L98" t="s">
        <v>175</v>
      </c>
      <c r="M98" t="s">
        <v>26</v>
      </c>
    </row>
    <row r="99" spans="1:13" x14ac:dyDescent="0.25">
      <c r="A99" t="s">
        <v>176</v>
      </c>
      <c r="B99" t="s">
        <v>10</v>
      </c>
      <c r="C99" t="e">
        <f>VLOOKUP(B99,#REF!,2,FALSE)</f>
        <v>#REF!</v>
      </c>
      <c r="D99">
        <v>18</v>
      </c>
      <c r="E99" t="s">
        <v>11</v>
      </c>
      <c r="F99" t="s">
        <v>12</v>
      </c>
      <c r="G99">
        <f t="shared" si="1"/>
        <v>1</v>
      </c>
      <c r="H99" t="s">
        <v>23</v>
      </c>
      <c r="I99" t="s">
        <v>30</v>
      </c>
      <c r="J99" t="s">
        <v>24</v>
      </c>
      <c r="K99" t="e">
        <f>VLOOKUP(J99,#REF!,2,FALSE)</f>
        <v>#REF!</v>
      </c>
      <c r="L99" t="s">
        <v>177</v>
      </c>
      <c r="M99" t="s">
        <v>26</v>
      </c>
    </row>
    <row r="100" spans="1:13" x14ac:dyDescent="0.25">
      <c r="A100" t="s">
        <v>178</v>
      </c>
      <c r="B100" t="s">
        <v>21</v>
      </c>
      <c r="C100" t="e">
        <f>VLOOKUP(B100,#REF!,2,FALSE)</f>
        <v>#REF!</v>
      </c>
      <c r="D100">
        <v>12</v>
      </c>
      <c r="E100" t="s">
        <v>11</v>
      </c>
      <c r="F100" t="s">
        <v>22</v>
      </c>
      <c r="G100">
        <f t="shared" si="1"/>
        <v>2</v>
      </c>
      <c r="H100" t="s">
        <v>13</v>
      </c>
      <c r="I100" t="s">
        <v>19</v>
      </c>
      <c r="J100" t="s">
        <v>24</v>
      </c>
      <c r="K100" t="e">
        <f>VLOOKUP(J100,#REF!,2,FALSE)</f>
        <v>#REF!</v>
      </c>
      <c r="L100" t="s">
        <v>19</v>
      </c>
      <c r="M100" t="s">
        <v>17</v>
      </c>
    </row>
    <row r="101" spans="1:13" x14ac:dyDescent="0.25">
      <c r="A101" t="s">
        <v>179</v>
      </c>
      <c r="B101" t="s">
        <v>21</v>
      </c>
      <c r="C101" t="e">
        <f>VLOOKUP(B101,#REF!,2,FALSE)</f>
        <v>#REF!</v>
      </c>
      <c r="D101">
        <v>11</v>
      </c>
      <c r="E101" t="s">
        <v>11</v>
      </c>
      <c r="F101" t="s">
        <v>22</v>
      </c>
      <c r="G101">
        <f t="shared" si="1"/>
        <v>2</v>
      </c>
      <c r="H101" t="s">
        <v>23</v>
      </c>
      <c r="I101" t="s">
        <v>30</v>
      </c>
      <c r="J101" t="s">
        <v>24</v>
      </c>
      <c r="K101" t="e">
        <f>VLOOKUP(J101,#REF!,2,FALSE)</f>
        <v>#REF!</v>
      </c>
      <c r="L101" t="s">
        <v>16</v>
      </c>
      <c r="M101" t="s">
        <v>17</v>
      </c>
    </row>
    <row r="102" spans="1:13" x14ac:dyDescent="0.25">
      <c r="A102" t="s">
        <v>180</v>
      </c>
      <c r="B102" t="s">
        <v>10</v>
      </c>
      <c r="C102" t="e">
        <f>VLOOKUP(B102,#REF!,2,FALSE)</f>
        <v>#REF!</v>
      </c>
      <c r="D102">
        <v>15</v>
      </c>
      <c r="E102" t="s">
        <v>11</v>
      </c>
      <c r="F102" t="s">
        <v>22</v>
      </c>
      <c r="G102">
        <f t="shared" si="1"/>
        <v>2</v>
      </c>
      <c r="H102" t="s">
        <v>13</v>
      </c>
      <c r="I102" t="s">
        <v>14</v>
      </c>
      <c r="J102" t="s">
        <v>24</v>
      </c>
      <c r="K102" t="e">
        <f>VLOOKUP(J102,#REF!,2,FALSE)</f>
        <v>#REF!</v>
      </c>
      <c r="L102" t="s">
        <v>67</v>
      </c>
      <c r="M102" t="s">
        <v>26</v>
      </c>
    </row>
    <row r="103" spans="1:13" x14ac:dyDescent="0.25">
      <c r="A103" t="s">
        <v>181</v>
      </c>
      <c r="B103" t="s">
        <v>21</v>
      </c>
      <c r="C103" t="e">
        <f>VLOOKUP(B103,#REF!,2,FALSE)</f>
        <v>#REF!</v>
      </c>
      <c r="D103">
        <v>13</v>
      </c>
      <c r="E103" t="s">
        <v>11</v>
      </c>
      <c r="F103" t="s">
        <v>12</v>
      </c>
      <c r="G103">
        <f t="shared" si="1"/>
        <v>1</v>
      </c>
      <c r="H103" t="s">
        <v>23</v>
      </c>
      <c r="I103" t="s">
        <v>19</v>
      </c>
      <c r="J103" t="s">
        <v>24</v>
      </c>
      <c r="K103" t="e">
        <f>VLOOKUP(J103,#REF!,2,FALSE)</f>
        <v>#REF!</v>
      </c>
      <c r="L103" t="s">
        <v>50</v>
      </c>
      <c r="M103" t="s">
        <v>17</v>
      </c>
    </row>
    <row r="104" spans="1:13" x14ac:dyDescent="0.25">
      <c r="A104" t="s">
        <v>182</v>
      </c>
      <c r="B104" t="s">
        <v>21</v>
      </c>
      <c r="C104" t="e">
        <f>VLOOKUP(B104,#REF!,2,FALSE)</f>
        <v>#REF!</v>
      </c>
      <c r="D104">
        <v>11</v>
      </c>
      <c r="E104" t="s">
        <v>11</v>
      </c>
      <c r="F104" t="s">
        <v>22</v>
      </c>
      <c r="G104">
        <f t="shared" si="1"/>
        <v>2</v>
      </c>
      <c r="H104" t="s">
        <v>13</v>
      </c>
      <c r="I104" t="s">
        <v>19</v>
      </c>
      <c r="J104" t="s">
        <v>24</v>
      </c>
      <c r="K104" t="e">
        <f>VLOOKUP(J104,#REF!,2,FALSE)</f>
        <v>#REF!</v>
      </c>
      <c r="L104" t="s">
        <v>183</v>
      </c>
      <c r="M104" t="s">
        <v>17</v>
      </c>
    </row>
    <row r="105" spans="1:13" x14ac:dyDescent="0.25">
      <c r="A105" t="s">
        <v>184</v>
      </c>
      <c r="B105" t="s">
        <v>21</v>
      </c>
      <c r="C105" t="e">
        <f>VLOOKUP(B105,#REF!,2,FALSE)</f>
        <v>#REF!</v>
      </c>
      <c r="D105">
        <v>14</v>
      </c>
      <c r="E105" t="s">
        <v>11</v>
      </c>
      <c r="F105" t="s">
        <v>12</v>
      </c>
      <c r="G105">
        <f t="shared" si="1"/>
        <v>1</v>
      </c>
      <c r="H105" t="s">
        <v>13</v>
      </c>
      <c r="I105" t="s">
        <v>19</v>
      </c>
      <c r="J105" t="s">
        <v>24</v>
      </c>
      <c r="K105" t="e">
        <f>VLOOKUP(J105,#REF!,2,FALSE)</f>
        <v>#REF!</v>
      </c>
      <c r="L105" t="s">
        <v>185</v>
      </c>
      <c r="M105" t="s">
        <v>17</v>
      </c>
    </row>
    <row r="106" spans="1:13" x14ac:dyDescent="0.25">
      <c r="A106" t="s">
        <v>186</v>
      </c>
      <c r="B106" t="s">
        <v>10</v>
      </c>
      <c r="C106" t="e">
        <f>VLOOKUP(B106,#REF!,2,FALSE)</f>
        <v>#REF!</v>
      </c>
      <c r="D106">
        <v>16</v>
      </c>
      <c r="E106" t="s">
        <v>11</v>
      </c>
      <c r="F106" t="s">
        <v>22</v>
      </c>
      <c r="G106">
        <f t="shared" si="1"/>
        <v>2</v>
      </c>
      <c r="H106" t="s">
        <v>13</v>
      </c>
      <c r="J106" t="s">
        <v>47</v>
      </c>
      <c r="K106" t="e">
        <f>VLOOKUP(J106,#REF!,2,FALSE)</f>
        <v>#REF!</v>
      </c>
      <c r="L106" t="s">
        <v>187</v>
      </c>
      <c r="M106" t="s">
        <v>26</v>
      </c>
    </row>
    <row r="107" spans="1:13" x14ac:dyDescent="0.25">
      <c r="A107" t="s">
        <v>188</v>
      </c>
      <c r="B107" t="s">
        <v>21</v>
      </c>
      <c r="C107" t="e">
        <f>VLOOKUP(B107,#REF!,2,FALSE)</f>
        <v>#REF!</v>
      </c>
      <c r="D107">
        <v>11</v>
      </c>
      <c r="E107" t="s">
        <v>11</v>
      </c>
      <c r="F107" t="s">
        <v>22</v>
      </c>
      <c r="G107">
        <f t="shared" si="1"/>
        <v>2</v>
      </c>
      <c r="I107" t="s">
        <v>30</v>
      </c>
      <c r="M107" t="s">
        <v>17</v>
      </c>
    </row>
    <row r="108" spans="1:13" x14ac:dyDescent="0.25">
      <c r="A108" t="s">
        <v>189</v>
      </c>
      <c r="B108" t="s">
        <v>21</v>
      </c>
      <c r="C108" t="e">
        <f>VLOOKUP(B108,#REF!,2,FALSE)</f>
        <v>#REF!</v>
      </c>
      <c r="D108">
        <v>12</v>
      </c>
      <c r="E108" t="s">
        <v>11</v>
      </c>
      <c r="F108" t="s">
        <v>22</v>
      </c>
      <c r="G108">
        <f t="shared" si="1"/>
        <v>2</v>
      </c>
      <c r="H108" t="s">
        <v>13</v>
      </c>
      <c r="I108" t="s">
        <v>42</v>
      </c>
      <c r="J108" t="s">
        <v>15</v>
      </c>
      <c r="K108" t="e">
        <f>VLOOKUP(J108,#REF!,2,FALSE)</f>
        <v>#REF!</v>
      </c>
      <c r="L108" t="s">
        <v>16</v>
      </c>
      <c r="M108" t="s">
        <v>17</v>
      </c>
    </row>
    <row r="109" spans="1:13" x14ac:dyDescent="0.25">
      <c r="A109" t="s">
        <v>190</v>
      </c>
      <c r="B109" t="s">
        <v>10</v>
      </c>
      <c r="C109" t="e">
        <f>VLOOKUP(B109,#REF!,2,FALSE)</f>
        <v>#REF!</v>
      </c>
      <c r="D109">
        <v>18</v>
      </c>
      <c r="E109" t="s">
        <v>11</v>
      </c>
      <c r="F109" t="s">
        <v>22</v>
      </c>
      <c r="G109">
        <f t="shared" si="1"/>
        <v>2</v>
      </c>
      <c r="H109" t="s">
        <v>13</v>
      </c>
      <c r="I109" t="s">
        <v>19</v>
      </c>
      <c r="J109" t="s">
        <v>43</v>
      </c>
      <c r="K109" t="e">
        <f>VLOOKUP(J109,#REF!,2,FALSE)</f>
        <v>#REF!</v>
      </c>
      <c r="L109" t="s">
        <v>191</v>
      </c>
      <c r="M109" t="s">
        <v>26</v>
      </c>
    </row>
    <row r="110" spans="1:13" x14ac:dyDescent="0.25">
      <c r="A110" t="s">
        <v>192</v>
      </c>
      <c r="B110" t="s">
        <v>10</v>
      </c>
      <c r="C110" t="e">
        <f>VLOOKUP(B110,#REF!,2,FALSE)</f>
        <v>#REF!</v>
      </c>
      <c r="D110">
        <v>16</v>
      </c>
      <c r="E110" t="s">
        <v>11</v>
      </c>
      <c r="F110" t="s">
        <v>22</v>
      </c>
      <c r="G110">
        <f t="shared" si="1"/>
        <v>2</v>
      </c>
      <c r="H110" t="s">
        <v>13</v>
      </c>
      <c r="I110" t="s">
        <v>14</v>
      </c>
      <c r="J110" t="s">
        <v>24</v>
      </c>
      <c r="K110" t="e">
        <f>VLOOKUP(J110,#REF!,2,FALSE)</f>
        <v>#REF!</v>
      </c>
      <c r="L110" t="s">
        <v>193</v>
      </c>
      <c r="M110" t="s">
        <v>17</v>
      </c>
    </row>
    <row r="111" spans="1:13" x14ac:dyDescent="0.25">
      <c r="A111" t="s">
        <v>194</v>
      </c>
      <c r="B111" t="s">
        <v>40</v>
      </c>
      <c r="C111" t="e">
        <f>VLOOKUP(B111,#REF!,2,FALSE)</f>
        <v>#REF!</v>
      </c>
      <c r="D111">
        <v>61</v>
      </c>
      <c r="E111" t="s">
        <v>52</v>
      </c>
      <c r="F111" t="s">
        <v>195</v>
      </c>
      <c r="G111">
        <v>3</v>
      </c>
      <c r="H111" t="s">
        <v>23</v>
      </c>
      <c r="I111" t="s">
        <v>14</v>
      </c>
      <c r="J111" t="s">
        <v>47</v>
      </c>
      <c r="K111" t="e">
        <f>VLOOKUP(J111,#REF!,2,FALSE)</f>
        <v>#REF!</v>
      </c>
      <c r="L111" t="s">
        <v>50</v>
      </c>
      <c r="M111" t="s">
        <v>26</v>
      </c>
    </row>
    <row r="112" spans="1:13" x14ac:dyDescent="0.25">
      <c r="A112" t="s">
        <v>196</v>
      </c>
      <c r="B112" t="s">
        <v>10</v>
      </c>
      <c r="C112" t="e">
        <f>VLOOKUP(B112,#REF!,2,FALSE)</f>
        <v>#REF!</v>
      </c>
      <c r="D112">
        <v>18</v>
      </c>
      <c r="E112" t="s">
        <v>11</v>
      </c>
      <c r="F112" t="s">
        <v>22</v>
      </c>
      <c r="G112">
        <f t="shared" si="1"/>
        <v>2</v>
      </c>
      <c r="H112" t="s">
        <v>13</v>
      </c>
      <c r="I112" t="s">
        <v>19</v>
      </c>
      <c r="J112" t="s">
        <v>24</v>
      </c>
      <c r="K112" t="e">
        <f>VLOOKUP(J112,#REF!,2,FALSE)</f>
        <v>#REF!</v>
      </c>
      <c r="L112" t="s">
        <v>16</v>
      </c>
      <c r="M112" t="s">
        <v>26</v>
      </c>
    </row>
    <row r="113" spans="1:13" x14ac:dyDescent="0.25">
      <c r="A113" t="s">
        <v>197</v>
      </c>
      <c r="B113" t="s">
        <v>21</v>
      </c>
      <c r="C113" t="e">
        <f>VLOOKUP(B113,#REF!,2,FALSE)</f>
        <v>#REF!</v>
      </c>
      <c r="D113">
        <v>14</v>
      </c>
      <c r="E113" t="s">
        <v>11</v>
      </c>
      <c r="F113" t="s">
        <v>22</v>
      </c>
      <c r="G113">
        <f t="shared" si="1"/>
        <v>2</v>
      </c>
      <c r="H113" t="s">
        <v>13</v>
      </c>
      <c r="I113" t="s">
        <v>42</v>
      </c>
      <c r="J113" t="s">
        <v>24</v>
      </c>
      <c r="K113" t="e">
        <f>VLOOKUP(J113,#REF!,2,FALSE)</f>
        <v>#REF!</v>
      </c>
      <c r="L113" t="s">
        <v>198</v>
      </c>
      <c r="M113" t="s">
        <v>26</v>
      </c>
    </row>
    <row r="114" spans="1:13" x14ac:dyDescent="0.25">
      <c r="A114" t="s">
        <v>199</v>
      </c>
      <c r="B114" t="s">
        <v>200</v>
      </c>
      <c r="C114" t="e">
        <f>VLOOKUP(B114,#REF!,2,FALSE)</f>
        <v>#REF!</v>
      </c>
      <c r="D114">
        <v>24</v>
      </c>
      <c r="E114" t="s">
        <v>11</v>
      </c>
      <c r="F114" t="s">
        <v>12</v>
      </c>
      <c r="G114">
        <f t="shared" si="1"/>
        <v>1</v>
      </c>
      <c r="H114" t="s">
        <v>23</v>
      </c>
      <c r="I114" t="s">
        <v>201</v>
      </c>
      <c r="J114" t="s">
        <v>15</v>
      </c>
      <c r="K114" t="e">
        <f>VLOOKUP(J114,#REF!,2,FALSE)</f>
        <v>#REF!</v>
      </c>
      <c r="M114" t="s">
        <v>26</v>
      </c>
    </row>
    <row r="115" spans="1:13" x14ac:dyDescent="0.25">
      <c r="A115" t="s">
        <v>202</v>
      </c>
      <c r="B115" t="s">
        <v>10</v>
      </c>
      <c r="C115" t="e">
        <f>VLOOKUP(B115,#REF!,2,FALSE)</f>
        <v>#REF!</v>
      </c>
      <c r="D115">
        <v>15</v>
      </c>
      <c r="E115" t="s">
        <v>11</v>
      </c>
      <c r="F115" t="s">
        <v>22</v>
      </c>
      <c r="G115">
        <f t="shared" si="1"/>
        <v>2</v>
      </c>
      <c r="H115" t="s">
        <v>13</v>
      </c>
      <c r="I115" t="s">
        <v>19</v>
      </c>
      <c r="J115" t="s">
        <v>24</v>
      </c>
      <c r="K115" t="e">
        <f>VLOOKUP(J115,#REF!,2,FALSE)</f>
        <v>#REF!</v>
      </c>
      <c r="L115" t="s">
        <v>16</v>
      </c>
      <c r="M115" t="s">
        <v>26</v>
      </c>
    </row>
    <row r="116" spans="1:13" x14ac:dyDescent="0.25">
      <c r="A116" t="s">
        <v>203</v>
      </c>
      <c r="B116" t="s">
        <v>10</v>
      </c>
      <c r="C116" t="e">
        <f>VLOOKUP(B116,#REF!,2,FALSE)</f>
        <v>#REF!</v>
      </c>
      <c r="D116">
        <v>16</v>
      </c>
      <c r="E116" t="s">
        <v>11</v>
      </c>
      <c r="F116" t="s">
        <v>22</v>
      </c>
      <c r="G116">
        <f t="shared" si="1"/>
        <v>2</v>
      </c>
      <c r="H116" t="s">
        <v>23</v>
      </c>
      <c r="I116" t="s">
        <v>19</v>
      </c>
      <c r="J116" t="s">
        <v>24</v>
      </c>
      <c r="K116" t="e">
        <f>VLOOKUP(J116,#REF!,2,FALSE)</f>
        <v>#REF!</v>
      </c>
      <c r="L116" t="s">
        <v>16</v>
      </c>
      <c r="M116" t="s">
        <v>26</v>
      </c>
    </row>
    <row r="117" spans="1:13" x14ac:dyDescent="0.25">
      <c r="A117" t="s">
        <v>204</v>
      </c>
      <c r="B117" t="s">
        <v>21</v>
      </c>
      <c r="C117" t="e">
        <f>VLOOKUP(B117,#REF!,2,FALSE)</f>
        <v>#REF!</v>
      </c>
      <c r="D117">
        <v>14</v>
      </c>
      <c r="E117" t="s">
        <v>11</v>
      </c>
      <c r="F117" t="s">
        <v>22</v>
      </c>
      <c r="G117">
        <f t="shared" si="1"/>
        <v>2</v>
      </c>
      <c r="H117" t="s">
        <v>13</v>
      </c>
      <c r="I117" t="s">
        <v>19</v>
      </c>
      <c r="J117" t="s">
        <v>24</v>
      </c>
      <c r="K117" t="e">
        <f>VLOOKUP(J117,#REF!,2,FALSE)</f>
        <v>#REF!</v>
      </c>
      <c r="L117" t="s">
        <v>16</v>
      </c>
      <c r="M117" t="s">
        <v>17</v>
      </c>
    </row>
    <row r="118" spans="1:13" x14ac:dyDescent="0.25">
      <c r="A118" t="s">
        <v>205</v>
      </c>
      <c r="B118" t="s">
        <v>21</v>
      </c>
      <c r="C118" t="e">
        <f>VLOOKUP(B118,#REF!,2,FALSE)</f>
        <v>#REF!</v>
      </c>
      <c r="D118">
        <v>11</v>
      </c>
      <c r="E118" t="s">
        <v>11</v>
      </c>
      <c r="F118" t="s">
        <v>22</v>
      </c>
      <c r="G118">
        <f t="shared" si="1"/>
        <v>2</v>
      </c>
      <c r="H118" t="s">
        <v>23</v>
      </c>
      <c r="I118" t="s">
        <v>30</v>
      </c>
      <c r="J118" t="s">
        <v>24</v>
      </c>
      <c r="K118" t="e">
        <f>VLOOKUP(J118,#REF!,2,FALSE)</f>
        <v>#REF!</v>
      </c>
      <c r="L118" t="s">
        <v>16</v>
      </c>
      <c r="M118" t="s">
        <v>26</v>
      </c>
    </row>
    <row r="119" spans="1:13" x14ac:dyDescent="0.25">
      <c r="A119" t="s">
        <v>206</v>
      </c>
      <c r="B119" t="s">
        <v>21</v>
      </c>
      <c r="C119" t="e">
        <f>VLOOKUP(B119,#REF!,2,FALSE)</f>
        <v>#REF!</v>
      </c>
      <c r="D119">
        <v>11</v>
      </c>
      <c r="E119" t="s">
        <v>11</v>
      </c>
      <c r="F119" t="s">
        <v>22</v>
      </c>
      <c r="G119">
        <f t="shared" si="1"/>
        <v>2</v>
      </c>
      <c r="H119" t="s">
        <v>13</v>
      </c>
      <c r="I119" t="s">
        <v>19</v>
      </c>
      <c r="J119" t="s">
        <v>24</v>
      </c>
      <c r="K119" t="e">
        <f>VLOOKUP(J119,#REF!,2,FALSE)</f>
        <v>#REF!</v>
      </c>
      <c r="L119" t="s">
        <v>207</v>
      </c>
      <c r="M119" t="s">
        <v>26</v>
      </c>
    </row>
    <row r="120" spans="1:13" x14ac:dyDescent="0.25">
      <c r="A120" t="s">
        <v>208</v>
      </c>
      <c r="B120" t="s">
        <v>21</v>
      </c>
      <c r="C120" t="e">
        <f>VLOOKUP(B120,#REF!,2,FALSE)</f>
        <v>#REF!</v>
      </c>
      <c r="D120">
        <v>11</v>
      </c>
      <c r="E120" t="s">
        <v>11</v>
      </c>
      <c r="F120" t="s">
        <v>22</v>
      </c>
      <c r="G120">
        <f t="shared" si="1"/>
        <v>2</v>
      </c>
      <c r="H120" t="s">
        <v>13</v>
      </c>
      <c r="I120" t="s">
        <v>30</v>
      </c>
      <c r="J120" t="s">
        <v>24</v>
      </c>
      <c r="K120" t="e">
        <f>VLOOKUP(J120,#REF!,2,FALSE)</f>
        <v>#REF!</v>
      </c>
      <c r="L120" t="s">
        <v>16</v>
      </c>
      <c r="M120" t="s">
        <v>26</v>
      </c>
    </row>
    <row r="121" spans="1:13" x14ac:dyDescent="0.25">
      <c r="A121" t="s">
        <v>209</v>
      </c>
      <c r="B121" t="s">
        <v>21</v>
      </c>
      <c r="C121" t="e">
        <f>VLOOKUP(B121,#REF!,2,FALSE)</f>
        <v>#REF!</v>
      </c>
      <c r="D121">
        <v>14</v>
      </c>
      <c r="E121" t="s">
        <v>11</v>
      </c>
      <c r="F121" t="s">
        <v>22</v>
      </c>
      <c r="G121">
        <f t="shared" si="1"/>
        <v>2</v>
      </c>
      <c r="H121" t="s">
        <v>13</v>
      </c>
      <c r="I121" t="s">
        <v>30</v>
      </c>
      <c r="J121" t="s">
        <v>24</v>
      </c>
      <c r="K121" t="e">
        <f>VLOOKUP(J121,#REF!,2,FALSE)</f>
        <v>#REF!</v>
      </c>
      <c r="L121" t="s">
        <v>16</v>
      </c>
      <c r="M121" t="s">
        <v>17</v>
      </c>
    </row>
    <row r="122" spans="1:13" x14ac:dyDescent="0.25">
      <c r="A122" t="s">
        <v>210</v>
      </c>
      <c r="B122" t="s">
        <v>21</v>
      </c>
      <c r="C122" t="e">
        <f>VLOOKUP(B122,#REF!,2,FALSE)</f>
        <v>#REF!</v>
      </c>
      <c r="D122">
        <v>14</v>
      </c>
      <c r="E122" t="s">
        <v>11</v>
      </c>
      <c r="F122" t="s">
        <v>22</v>
      </c>
      <c r="G122">
        <f t="shared" si="1"/>
        <v>2</v>
      </c>
      <c r="H122" t="s">
        <v>13</v>
      </c>
      <c r="I122" t="s">
        <v>14</v>
      </c>
      <c r="J122" t="s">
        <v>47</v>
      </c>
      <c r="K122" t="e">
        <f>VLOOKUP(J122,#REF!,2,FALSE)</f>
        <v>#REF!</v>
      </c>
      <c r="L122" t="s">
        <v>16</v>
      </c>
      <c r="M122" t="s">
        <v>26</v>
      </c>
    </row>
    <row r="123" spans="1:13" x14ac:dyDescent="0.25">
      <c r="A123" t="s">
        <v>211</v>
      </c>
      <c r="B123" t="s">
        <v>10</v>
      </c>
      <c r="C123" t="e">
        <f>VLOOKUP(B123,#REF!,2,FALSE)</f>
        <v>#REF!</v>
      </c>
      <c r="D123">
        <v>18</v>
      </c>
      <c r="E123" t="s">
        <v>11</v>
      </c>
      <c r="F123" t="s">
        <v>12</v>
      </c>
      <c r="G123">
        <f t="shared" si="1"/>
        <v>1</v>
      </c>
      <c r="H123" t="s">
        <v>13</v>
      </c>
      <c r="I123" t="s">
        <v>19</v>
      </c>
      <c r="J123" t="s">
        <v>24</v>
      </c>
      <c r="K123" t="e">
        <f>VLOOKUP(J123,#REF!,2,FALSE)</f>
        <v>#REF!</v>
      </c>
      <c r="L123" t="s">
        <v>19</v>
      </c>
      <c r="M123" t="s">
        <v>26</v>
      </c>
    </row>
    <row r="124" spans="1:13" x14ac:dyDescent="0.25">
      <c r="A124" t="s">
        <v>212</v>
      </c>
      <c r="B124" t="s">
        <v>10</v>
      </c>
      <c r="C124" t="e">
        <f>VLOOKUP(B124,#REF!,2,FALSE)</f>
        <v>#REF!</v>
      </c>
      <c r="D124">
        <v>15</v>
      </c>
      <c r="E124" t="s">
        <v>11</v>
      </c>
      <c r="F124" t="s">
        <v>22</v>
      </c>
      <c r="G124">
        <f t="shared" si="1"/>
        <v>2</v>
      </c>
      <c r="H124" t="s">
        <v>13</v>
      </c>
      <c r="I124" t="s">
        <v>14</v>
      </c>
      <c r="J124" t="s">
        <v>47</v>
      </c>
      <c r="K124" t="e">
        <f>VLOOKUP(J124,#REF!,2,FALSE)</f>
        <v>#REF!</v>
      </c>
      <c r="L124" t="s">
        <v>16</v>
      </c>
      <c r="M124" t="s">
        <v>17</v>
      </c>
    </row>
    <row r="125" spans="1:13" x14ac:dyDescent="0.25">
      <c r="A125" t="s">
        <v>213</v>
      </c>
      <c r="B125" t="s">
        <v>10</v>
      </c>
      <c r="C125" t="e">
        <f>VLOOKUP(B125,#REF!,2,FALSE)</f>
        <v>#REF!</v>
      </c>
      <c r="D125">
        <v>18</v>
      </c>
      <c r="E125" t="s">
        <v>11</v>
      </c>
      <c r="F125" t="s">
        <v>22</v>
      </c>
      <c r="G125">
        <f t="shared" si="1"/>
        <v>2</v>
      </c>
      <c r="H125" t="s">
        <v>13</v>
      </c>
      <c r="I125" t="s">
        <v>30</v>
      </c>
      <c r="J125" t="s">
        <v>24</v>
      </c>
      <c r="K125" t="e">
        <f>VLOOKUP(J125,#REF!,2,FALSE)</f>
        <v>#REF!</v>
      </c>
      <c r="L125" t="s">
        <v>214</v>
      </c>
      <c r="M125" t="s">
        <v>17</v>
      </c>
    </row>
    <row r="126" spans="1:13" x14ac:dyDescent="0.25">
      <c r="A126" t="s">
        <v>215</v>
      </c>
      <c r="B126" t="s">
        <v>10</v>
      </c>
      <c r="C126" t="e">
        <f>VLOOKUP(B126,#REF!,2,FALSE)</f>
        <v>#REF!</v>
      </c>
      <c r="D126">
        <v>15</v>
      </c>
      <c r="E126" t="s">
        <v>11</v>
      </c>
      <c r="F126" t="s">
        <v>12</v>
      </c>
      <c r="G126">
        <f t="shared" si="1"/>
        <v>1</v>
      </c>
      <c r="H126" t="s">
        <v>13</v>
      </c>
      <c r="I126" t="s">
        <v>14</v>
      </c>
      <c r="J126" t="s">
        <v>15</v>
      </c>
      <c r="K126" t="e">
        <f>VLOOKUP(J126,#REF!,2,FALSE)</f>
        <v>#REF!</v>
      </c>
      <c r="L126" t="s">
        <v>16</v>
      </c>
      <c r="M126" t="s">
        <v>26</v>
      </c>
    </row>
    <row r="127" spans="1:13" x14ac:dyDescent="0.25">
      <c r="A127" t="s">
        <v>216</v>
      </c>
      <c r="B127" t="s">
        <v>21</v>
      </c>
      <c r="C127" t="e">
        <f>VLOOKUP(B127,#REF!,2,FALSE)</f>
        <v>#REF!</v>
      </c>
      <c r="D127">
        <v>13</v>
      </c>
      <c r="E127" t="s">
        <v>11</v>
      </c>
      <c r="F127" t="s">
        <v>12</v>
      </c>
      <c r="G127">
        <f t="shared" si="1"/>
        <v>1</v>
      </c>
      <c r="H127" t="s">
        <v>13</v>
      </c>
      <c r="I127" t="s">
        <v>217</v>
      </c>
      <c r="J127" t="s">
        <v>24</v>
      </c>
      <c r="K127" t="e">
        <f>VLOOKUP(J127,#REF!,2,FALSE)</f>
        <v>#REF!</v>
      </c>
      <c r="L127" t="s">
        <v>218</v>
      </c>
      <c r="M127" t="s">
        <v>26</v>
      </c>
    </row>
    <row r="128" spans="1:13" x14ac:dyDescent="0.25">
      <c r="A128" t="s">
        <v>219</v>
      </c>
      <c r="B128" t="s">
        <v>10</v>
      </c>
      <c r="C128" t="e">
        <f>VLOOKUP(B128,#REF!,2,FALSE)</f>
        <v>#REF!</v>
      </c>
      <c r="D128">
        <v>18</v>
      </c>
      <c r="E128" t="s">
        <v>11</v>
      </c>
      <c r="F128" t="s">
        <v>12</v>
      </c>
      <c r="G128">
        <f t="shared" si="1"/>
        <v>1</v>
      </c>
      <c r="H128" t="s">
        <v>13</v>
      </c>
      <c r="I128" t="s">
        <v>14</v>
      </c>
      <c r="J128" t="s">
        <v>24</v>
      </c>
      <c r="K128" t="e">
        <f>VLOOKUP(J128,#REF!,2,FALSE)</f>
        <v>#REF!</v>
      </c>
      <c r="L128" t="s">
        <v>16</v>
      </c>
      <c r="M128" t="s">
        <v>17</v>
      </c>
    </row>
    <row r="129" spans="1:13" x14ac:dyDescent="0.25">
      <c r="A129" t="s">
        <v>220</v>
      </c>
      <c r="B129" t="s">
        <v>21</v>
      </c>
      <c r="C129" t="e">
        <f>VLOOKUP(B129,#REF!,2,FALSE)</f>
        <v>#REF!</v>
      </c>
      <c r="D129">
        <v>14</v>
      </c>
      <c r="E129" t="s">
        <v>11</v>
      </c>
      <c r="F129" t="s">
        <v>22</v>
      </c>
      <c r="G129">
        <f t="shared" si="1"/>
        <v>2</v>
      </c>
      <c r="H129" t="s">
        <v>13</v>
      </c>
      <c r="I129" t="s">
        <v>19</v>
      </c>
      <c r="J129" t="s">
        <v>24</v>
      </c>
      <c r="K129" t="e">
        <f>VLOOKUP(J129,#REF!,2,FALSE)</f>
        <v>#REF!</v>
      </c>
      <c r="L129" t="s">
        <v>16</v>
      </c>
    </row>
    <row r="130" spans="1:13" x14ac:dyDescent="0.25">
      <c r="A130" t="s">
        <v>221</v>
      </c>
      <c r="B130" t="s">
        <v>21</v>
      </c>
      <c r="C130" t="e">
        <f>VLOOKUP(B130,#REF!,2,FALSE)</f>
        <v>#REF!</v>
      </c>
      <c r="D130">
        <v>11</v>
      </c>
      <c r="E130" t="s">
        <v>11</v>
      </c>
      <c r="F130" t="s">
        <v>195</v>
      </c>
      <c r="G130">
        <v>3</v>
      </c>
      <c r="H130" t="s">
        <v>23</v>
      </c>
      <c r="I130" t="s">
        <v>222</v>
      </c>
      <c r="J130" t="s">
        <v>15</v>
      </c>
      <c r="K130" t="e">
        <f>VLOOKUP(J130,#REF!,2,FALSE)</f>
        <v>#REF!</v>
      </c>
      <c r="L130" t="s">
        <v>19</v>
      </c>
      <c r="M130" t="s">
        <v>26</v>
      </c>
    </row>
    <row r="131" spans="1:13" x14ac:dyDescent="0.25">
      <c r="A131" t="s">
        <v>223</v>
      </c>
      <c r="B131" t="s">
        <v>10</v>
      </c>
      <c r="C131" t="e">
        <f>VLOOKUP(B131,#REF!,2,FALSE)</f>
        <v>#REF!</v>
      </c>
      <c r="D131">
        <v>15</v>
      </c>
      <c r="E131" t="s">
        <v>11</v>
      </c>
      <c r="F131" t="s">
        <v>12</v>
      </c>
      <c r="G131">
        <f t="shared" ref="G131:G194" si="2">IF(EXACT(F131,"Weiblich"),2,1)</f>
        <v>1</v>
      </c>
      <c r="H131" t="s">
        <v>13</v>
      </c>
      <c r="I131" t="s">
        <v>14</v>
      </c>
      <c r="J131" t="s">
        <v>47</v>
      </c>
      <c r="K131" t="e">
        <f>VLOOKUP(J131,#REF!,2,FALSE)</f>
        <v>#REF!</v>
      </c>
      <c r="L131" t="s">
        <v>147</v>
      </c>
      <c r="M131" t="s">
        <v>17</v>
      </c>
    </row>
    <row r="132" spans="1:13" x14ac:dyDescent="0.25">
      <c r="A132" t="s">
        <v>224</v>
      </c>
      <c r="B132" t="s">
        <v>54</v>
      </c>
      <c r="C132" t="e">
        <f>VLOOKUP(B132,#REF!,2,FALSE)</f>
        <v>#REF!</v>
      </c>
      <c r="D132">
        <v>38</v>
      </c>
      <c r="E132" t="s">
        <v>41</v>
      </c>
      <c r="F132" t="s">
        <v>22</v>
      </c>
      <c r="G132">
        <f t="shared" si="2"/>
        <v>2</v>
      </c>
      <c r="H132" t="s">
        <v>13</v>
      </c>
      <c r="I132" t="s">
        <v>42</v>
      </c>
      <c r="J132" t="s">
        <v>24</v>
      </c>
      <c r="K132" t="e">
        <f>VLOOKUP(J132,#REF!,2,FALSE)</f>
        <v>#REF!</v>
      </c>
      <c r="L132" t="s">
        <v>225</v>
      </c>
      <c r="M132" t="s">
        <v>26</v>
      </c>
    </row>
    <row r="133" spans="1:13" x14ac:dyDescent="0.25">
      <c r="A133" t="s">
        <v>226</v>
      </c>
      <c r="B133" t="s">
        <v>21</v>
      </c>
      <c r="C133" t="e">
        <f>VLOOKUP(B133,#REF!,2,FALSE)</f>
        <v>#REF!</v>
      </c>
      <c r="D133">
        <v>13</v>
      </c>
      <c r="E133" t="s">
        <v>11</v>
      </c>
      <c r="F133" t="s">
        <v>22</v>
      </c>
      <c r="G133">
        <f t="shared" si="2"/>
        <v>2</v>
      </c>
      <c r="H133" t="s">
        <v>13</v>
      </c>
      <c r="I133" t="s">
        <v>14</v>
      </c>
      <c r="J133" t="s">
        <v>24</v>
      </c>
      <c r="K133" t="e">
        <f>VLOOKUP(J133,#REF!,2,FALSE)</f>
        <v>#REF!</v>
      </c>
      <c r="L133" t="s">
        <v>16</v>
      </c>
      <c r="M133" t="s">
        <v>26</v>
      </c>
    </row>
    <row r="134" spans="1:13" x14ac:dyDescent="0.25">
      <c r="A134" t="s">
        <v>227</v>
      </c>
      <c r="B134" t="s">
        <v>21</v>
      </c>
      <c r="C134" t="e">
        <f>VLOOKUP(B134,#REF!,2,FALSE)</f>
        <v>#REF!</v>
      </c>
      <c r="D134">
        <v>13</v>
      </c>
      <c r="E134" t="s">
        <v>11</v>
      </c>
      <c r="F134" t="s">
        <v>22</v>
      </c>
      <c r="G134">
        <f t="shared" si="2"/>
        <v>2</v>
      </c>
      <c r="H134" t="s">
        <v>23</v>
      </c>
      <c r="I134" t="s">
        <v>228</v>
      </c>
      <c r="J134" t="s">
        <v>15</v>
      </c>
      <c r="K134" t="e">
        <f>VLOOKUP(J134,#REF!,2,FALSE)</f>
        <v>#REF!</v>
      </c>
      <c r="L134" t="s">
        <v>16</v>
      </c>
    </row>
    <row r="135" spans="1:13" x14ac:dyDescent="0.25">
      <c r="A135" t="s">
        <v>229</v>
      </c>
      <c r="B135" t="s">
        <v>10</v>
      </c>
      <c r="C135" t="e">
        <f>VLOOKUP(B135,#REF!,2,FALSE)</f>
        <v>#REF!</v>
      </c>
      <c r="D135">
        <v>18</v>
      </c>
      <c r="E135" t="s">
        <v>11</v>
      </c>
      <c r="F135" t="s">
        <v>22</v>
      </c>
      <c r="G135">
        <f t="shared" si="2"/>
        <v>2</v>
      </c>
      <c r="H135" t="s">
        <v>13</v>
      </c>
      <c r="I135" t="s">
        <v>19</v>
      </c>
      <c r="J135" t="s">
        <v>15</v>
      </c>
      <c r="K135" t="e">
        <f>VLOOKUP(J135,#REF!,2,FALSE)</f>
        <v>#REF!</v>
      </c>
      <c r="L135" t="s">
        <v>67</v>
      </c>
      <c r="M135" t="s">
        <v>26</v>
      </c>
    </row>
    <row r="136" spans="1:13" x14ac:dyDescent="0.25">
      <c r="A136" t="s">
        <v>230</v>
      </c>
      <c r="B136" t="s">
        <v>10</v>
      </c>
      <c r="C136" t="e">
        <f>VLOOKUP(B136,#REF!,2,FALSE)</f>
        <v>#REF!</v>
      </c>
      <c r="D136">
        <v>17</v>
      </c>
      <c r="E136" t="s">
        <v>11</v>
      </c>
      <c r="F136" t="s">
        <v>22</v>
      </c>
      <c r="G136">
        <f t="shared" si="2"/>
        <v>2</v>
      </c>
      <c r="I136" t="s">
        <v>19</v>
      </c>
      <c r="J136" t="s">
        <v>24</v>
      </c>
      <c r="K136" t="e">
        <f>VLOOKUP(J136,#REF!,2,FALSE)</f>
        <v>#REF!</v>
      </c>
      <c r="L136" t="s">
        <v>16</v>
      </c>
      <c r="M136" t="s">
        <v>26</v>
      </c>
    </row>
    <row r="137" spans="1:13" x14ac:dyDescent="0.25">
      <c r="A137" t="s">
        <v>231</v>
      </c>
      <c r="B137" t="s">
        <v>10</v>
      </c>
      <c r="C137" t="e">
        <f>VLOOKUP(B137,#REF!,2,FALSE)</f>
        <v>#REF!</v>
      </c>
      <c r="D137">
        <v>17</v>
      </c>
      <c r="E137" t="s">
        <v>11</v>
      </c>
      <c r="F137" t="s">
        <v>12</v>
      </c>
      <c r="G137">
        <f t="shared" si="2"/>
        <v>1</v>
      </c>
      <c r="H137" t="s">
        <v>13</v>
      </c>
      <c r="I137" t="s">
        <v>14</v>
      </c>
      <c r="J137" t="s">
        <v>15</v>
      </c>
      <c r="K137" t="e">
        <f>VLOOKUP(J137,#REF!,2,FALSE)</f>
        <v>#REF!</v>
      </c>
      <c r="L137" t="s">
        <v>16</v>
      </c>
      <c r="M137" t="s">
        <v>26</v>
      </c>
    </row>
    <row r="138" spans="1:13" x14ac:dyDescent="0.25">
      <c r="A138" t="s">
        <v>232</v>
      </c>
      <c r="B138" t="s">
        <v>10</v>
      </c>
      <c r="C138" t="e">
        <f>VLOOKUP(B138,#REF!,2,FALSE)</f>
        <v>#REF!</v>
      </c>
      <c r="D138">
        <v>17</v>
      </c>
      <c r="E138" t="s">
        <v>11</v>
      </c>
      <c r="F138" t="s">
        <v>12</v>
      </c>
      <c r="G138">
        <f t="shared" si="2"/>
        <v>1</v>
      </c>
      <c r="H138" t="s">
        <v>13</v>
      </c>
      <c r="I138" t="s">
        <v>14</v>
      </c>
      <c r="J138" t="s">
        <v>15</v>
      </c>
      <c r="K138" t="e">
        <f>VLOOKUP(J138,#REF!,2,FALSE)</f>
        <v>#REF!</v>
      </c>
      <c r="L138" t="s">
        <v>233</v>
      </c>
      <c r="M138" t="s">
        <v>26</v>
      </c>
    </row>
    <row r="139" spans="1:13" x14ac:dyDescent="0.25">
      <c r="A139" t="s">
        <v>234</v>
      </c>
      <c r="B139" t="s">
        <v>10</v>
      </c>
      <c r="C139" t="e">
        <f>VLOOKUP(B139,#REF!,2,FALSE)</f>
        <v>#REF!</v>
      </c>
      <c r="D139">
        <v>16</v>
      </c>
      <c r="E139" t="s">
        <v>11</v>
      </c>
      <c r="F139" t="s">
        <v>22</v>
      </c>
      <c r="G139">
        <f t="shared" si="2"/>
        <v>2</v>
      </c>
      <c r="H139" t="s">
        <v>13</v>
      </c>
      <c r="I139" t="s">
        <v>42</v>
      </c>
      <c r="J139" t="s">
        <v>24</v>
      </c>
      <c r="K139" t="e">
        <f>VLOOKUP(J139,#REF!,2,FALSE)</f>
        <v>#REF!</v>
      </c>
      <c r="L139" t="s">
        <v>16</v>
      </c>
      <c r="M139" t="s">
        <v>26</v>
      </c>
    </row>
    <row r="140" spans="1:13" x14ac:dyDescent="0.25">
      <c r="A140" t="s">
        <v>235</v>
      </c>
      <c r="B140" t="s">
        <v>21</v>
      </c>
      <c r="C140" t="e">
        <f>VLOOKUP(B140,#REF!,2,FALSE)</f>
        <v>#REF!</v>
      </c>
      <c r="D140">
        <v>14</v>
      </c>
      <c r="E140" t="s">
        <v>11</v>
      </c>
      <c r="F140" t="s">
        <v>22</v>
      </c>
      <c r="G140">
        <f t="shared" si="2"/>
        <v>2</v>
      </c>
      <c r="H140" t="s">
        <v>13</v>
      </c>
      <c r="I140" t="s">
        <v>236</v>
      </c>
      <c r="J140" t="s">
        <v>24</v>
      </c>
      <c r="K140" t="e">
        <f>VLOOKUP(J140,#REF!,2,FALSE)</f>
        <v>#REF!</v>
      </c>
      <c r="L140" t="s">
        <v>16</v>
      </c>
      <c r="M140" t="s">
        <v>26</v>
      </c>
    </row>
    <row r="141" spans="1:13" x14ac:dyDescent="0.25">
      <c r="A141" t="s">
        <v>237</v>
      </c>
      <c r="B141" t="s">
        <v>10</v>
      </c>
      <c r="C141" t="e">
        <f>VLOOKUP(B141,#REF!,2,FALSE)</f>
        <v>#REF!</v>
      </c>
      <c r="D141">
        <v>15</v>
      </c>
      <c r="E141" t="s">
        <v>11</v>
      </c>
      <c r="F141" t="s">
        <v>22</v>
      </c>
      <c r="G141">
        <f t="shared" si="2"/>
        <v>2</v>
      </c>
      <c r="H141" t="s">
        <v>23</v>
      </c>
      <c r="I141" t="s">
        <v>19</v>
      </c>
      <c r="J141" t="s">
        <v>15</v>
      </c>
      <c r="K141" t="e">
        <f>VLOOKUP(J141,#REF!,2,FALSE)</f>
        <v>#REF!</v>
      </c>
      <c r="L141" t="s">
        <v>16</v>
      </c>
      <c r="M141" t="s">
        <v>26</v>
      </c>
    </row>
    <row r="142" spans="1:13" x14ac:dyDescent="0.25">
      <c r="A142" t="s">
        <v>238</v>
      </c>
      <c r="B142" t="s">
        <v>21</v>
      </c>
      <c r="C142" t="e">
        <f>VLOOKUP(B142,#REF!,2,FALSE)</f>
        <v>#REF!</v>
      </c>
      <c r="D142">
        <v>12</v>
      </c>
      <c r="E142" t="s">
        <v>11</v>
      </c>
      <c r="F142" t="s">
        <v>22</v>
      </c>
      <c r="G142">
        <f t="shared" si="2"/>
        <v>2</v>
      </c>
      <c r="H142" t="s">
        <v>13</v>
      </c>
      <c r="I142" t="s">
        <v>30</v>
      </c>
      <c r="J142" t="s">
        <v>47</v>
      </c>
      <c r="K142" t="e">
        <f>VLOOKUP(J142,#REF!,2,FALSE)</f>
        <v>#REF!</v>
      </c>
      <c r="L142" t="s">
        <v>239</v>
      </c>
      <c r="M142" t="s">
        <v>26</v>
      </c>
    </row>
    <row r="143" spans="1:13" x14ac:dyDescent="0.25">
      <c r="A143" t="s">
        <v>240</v>
      </c>
      <c r="B143" t="s">
        <v>21</v>
      </c>
      <c r="C143" t="e">
        <f>VLOOKUP(B143,#REF!,2,FALSE)</f>
        <v>#REF!</v>
      </c>
      <c r="D143">
        <v>13</v>
      </c>
      <c r="E143" t="s">
        <v>11</v>
      </c>
      <c r="F143" t="s">
        <v>12</v>
      </c>
      <c r="G143">
        <f t="shared" si="2"/>
        <v>1</v>
      </c>
      <c r="H143" t="s">
        <v>23</v>
      </c>
      <c r="I143" t="s">
        <v>30</v>
      </c>
      <c r="J143" t="s">
        <v>47</v>
      </c>
      <c r="K143" t="e">
        <f>VLOOKUP(J143,#REF!,2,FALSE)</f>
        <v>#REF!</v>
      </c>
      <c r="L143" t="s">
        <v>241</v>
      </c>
      <c r="M143" t="s">
        <v>17</v>
      </c>
    </row>
    <row r="144" spans="1:13" x14ac:dyDescent="0.25">
      <c r="A144" t="s">
        <v>242</v>
      </c>
      <c r="B144" t="s">
        <v>54</v>
      </c>
      <c r="C144" t="e">
        <f>VLOOKUP(B144,#REF!,2,FALSE)</f>
        <v>#REF!</v>
      </c>
      <c r="D144">
        <v>48</v>
      </c>
      <c r="E144" t="s">
        <v>41</v>
      </c>
      <c r="F144" t="s">
        <v>22</v>
      </c>
      <c r="G144">
        <f t="shared" si="2"/>
        <v>2</v>
      </c>
      <c r="H144" t="s">
        <v>13</v>
      </c>
      <c r="I144" t="s">
        <v>42</v>
      </c>
      <c r="J144" t="s">
        <v>24</v>
      </c>
      <c r="K144" t="e">
        <f>VLOOKUP(J144,#REF!,2,FALSE)</f>
        <v>#REF!</v>
      </c>
      <c r="L144" t="s">
        <v>19</v>
      </c>
      <c r="M144" t="s">
        <v>26</v>
      </c>
    </row>
    <row r="145" spans="1:13" x14ac:dyDescent="0.25">
      <c r="A145" t="s">
        <v>243</v>
      </c>
      <c r="B145" t="s">
        <v>21</v>
      </c>
      <c r="C145" t="e">
        <f>VLOOKUP(B145,#REF!,2,FALSE)</f>
        <v>#REF!</v>
      </c>
      <c r="D145">
        <v>13</v>
      </c>
      <c r="E145" t="s">
        <v>11</v>
      </c>
      <c r="F145" t="s">
        <v>12</v>
      </c>
      <c r="G145">
        <f t="shared" si="2"/>
        <v>1</v>
      </c>
      <c r="H145" t="s">
        <v>13</v>
      </c>
      <c r="I145" t="s">
        <v>244</v>
      </c>
      <c r="J145" t="s">
        <v>15</v>
      </c>
      <c r="K145" t="e">
        <f>VLOOKUP(J145,#REF!,2,FALSE)</f>
        <v>#REF!</v>
      </c>
      <c r="L145" t="s">
        <v>16</v>
      </c>
      <c r="M145" t="s">
        <v>17</v>
      </c>
    </row>
    <row r="146" spans="1:13" x14ac:dyDescent="0.25">
      <c r="A146" t="s">
        <v>245</v>
      </c>
      <c r="B146" t="s">
        <v>21</v>
      </c>
      <c r="C146" t="e">
        <f>VLOOKUP(B146,#REF!,2,FALSE)</f>
        <v>#REF!</v>
      </c>
      <c r="D146">
        <v>12</v>
      </c>
      <c r="E146" t="s">
        <v>11</v>
      </c>
      <c r="F146" t="s">
        <v>12</v>
      </c>
      <c r="G146">
        <f t="shared" si="2"/>
        <v>1</v>
      </c>
      <c r="H146" t="s">
        <v>13</v>
      </c>
      <c r="I146" t="s">
        <v>14</v>
      </c>
      <c r="J146" t="s">
        <v>24</v>
      </c>
      <c r="K146" t="e">
        <f>VLOOKUP(J146,#REF!,2,FALSE)</f>
        <v>#REF!</v>
      </c>
      <c r="L146" t="s">
        <v>246</v>
      </c>
      <c r="M146" t="s">
        <v>17</v>
      </c>
    </row>
    <row r="147" spans="1:13" x14ac:dyDescent="0.25">
      <c r="A147" t="s">
        <v>247</v>
      </c>
      <c r="B147" t="s">
        <v>21</v>
      </c>
      <c r="C147" t="e">
        <f>VLOOKUP(B147,#REF!,2,FALSE)</f>
        <v>#REF!</v>
      </c>
      <c r="D147">
        <v>11</v>
      </c>
      <c r="E147" t="s">
        <v>11</v>
      </c>
      <c r="F147" t="s">
        <v>12</v>
      </c>
      <c r="G147">
        <f t="shared" si="2"/>
        <v>1</v>
      </c>
      <c r="H147" t="s">
        <v>13</v>
      </c>
      <c r="I147" t="s">
        <v>19</v>
      </c>
      <c r="J147" t="s">
        <v>15</v>
      </c>
      <c r="K147" t="e">
        <f>VLOOKUP(J147,#REF!,2,FALSE)</f>
        <v>#REF!</v>
      </c>
      <c r="L147" t="s">
        <v>16</v>
      </c>
      <c r="M147" t="s">
        <v>26</v>
      </c>
    </row>
    <row r="148" spans="1:13" x14ac:dyDescent="0.25">
      <c r="A148" t="s">
        <v>248</v>
      </c>
      <c r="B148" t="s">
        <v>10</v>
      </c>
      <c r="C148" t="e">
        <f>VLOOKUP(B148,#REF!,2,FALSE)</f>
        <v>#REF!</v>
      </c>
      <c r="D148">
        <v>17</v>
      </c>
      <c r="E148" t="s">
        <v>11</v>
      </c>
      <c r="F148" t="s">
        <v>12</v>
      </c>
      <c r="G148">
        <f t="shared" si="2"/>
        <v>1</v>
      </c>
      <c r="H148" t="s">
        <v>13</v>
      </c>
      <c r="I148" t="s">
        <v>14</v>
      </c>
      <c r="J148" t="s">
        <v>24</v>
      </c>
      <c r="K148" t="e">
        <f>VLOOKUP(J148,#REF!,2,FALSE)</f>
        <v>#REF!</v>
      </c>
      <c r="L148" t="s">
        <v>249</v>
      </c>
      <c r="M148" t="s">
        <v>17</v>
      </c>
    </row>
    <row r="149" spans="1:13" x14ac:dyDescent="0.25">
      <c r="A149" t="s">
        <v>250</v>
      </c>
      <c r="B149" t="s">
        <v>21</v>
      </c>
      <c r="C149" t="e">
        <f>VLOOKUP(B149,#REF!,2,FALSE)</f>
        <v>#REF!</v>
      </c>
      <c r="D149">
        <v>14</v>
      </c>
      <c r="E149" t="s">
        <v>11</v>
      </c>
      <c r="F149" t="s">
        <v>12</v>
      </c>
      <c r="G149">
        <f t="shared" si="2"/>
        <v>1</v>
      </c>
      <c r="I149" t="s">
        <v>19</v>
      </c>
      <c r="J149" t="s">
        <v>24</v>
      </c>
      <c r="K149" t="e">
        <f>VLOOKUP(J149,#REF!,2,FALSE)</f>
        <v>#REF!</v>
      </c>
      <c r="L149" t="s">
        <v>251</v>
      </c>
      <c r="M149" t="s">
        <v>17</v>
      </c>
    </row>
    <row r="150" spans="1:13" x14ac:dyDescent="0.25">
      <c r="A150" t="s">
        <v>252</v>
      </c>
      <c r="B150" t="s">
        <v>40</v>
      </c>
      <c r="C150" t="e">
        <f>VLOOKUP(B150,#REF!,2,FALSE)</f>
        <v>#REF!</v>
      </c>
      <c r="D150">
        <v>55</v>
      </c>
      <c r="E150" t="s">
        <v>52</v>
      </c>
      <c r="F150" t="s">
        <v>92</v>
      </c>
      <c r="G150">
        <v>0</v>
      </c>
      <c r="H150" t="s">
        <v>23</v>
      </c>
      <c r="I150" t="s">
        <v>253</v>
      </c>
      <c r="J150" t="s">
        <v>43</v>
      </c>
      <c r="K150" t="e">
        <f>VLOOKUP(J150,#REF!,2,FALSE)</f>
        <v>#REF!</v>
      </c>
      <c r="L150" t="s">
        <v>50</v>
      </c>
      <c r="M150" t="s">
        <v>26</v>
      </c>
    </row>
    <row r="151" spans="1:13" x14ac:dyDescent="0.25">
      <c r="A151" t="s">
        <v>254</v>
      </c>
      <c r="B151" t="s">
        <v>10</v>
      </c>
      <c r="C151" t="e">
        <f>VLOOKUP(B151,#REF!,2,FALSE)</f>
        <v>#REF!</v>
      </c>
      <c r="D151">
        <v>17</v>
      </c>
      <c r="E151" t="s">
        <v>11</v>
      </c>
      <c r="F151" t="s">
        <v>12</v>
      </c>
      <c r="G151">
        <f t="shared" si="2"/>
        <v>1</v>
      </c>
      <c r="H151" t="s">
        <v>23</v>
      </c>
      <c r="I151" t="s">
        <v>30</v>
      </c>
      <c r="J151" t="s">
        <v>43</v>
      </c>
      <c r="K151" t="e">
        <f>VLOOKUP(J151,#REF!,2,FALSE)</f>
        <v>#REF!</v>
      </c>
      <c r="L151" t="s">
        <v>16</v>
      </c>
    </row>
    <row r="152" spans="1:13" x14ac:dyDescent="0.25">
      <c r="A152" t="s">
        <v>255</v>
      </c>
      <c r="B152" t="s">
        <v>10</v>
      </c>
      <c r="C152" t="e">
        <f>VLOOKUP(B152,#REF!,2,FALSE)</f>
        <v>#REF!</v>
      </c>
      <c r="D152">
        <v>15</v>
      </c>
      <c r="E152" t="s">
        <v>11</v>
      </c>
      <c r="F152" t="s">
        <v>12</v>
      </c>
      <c r="G152">
        <f t="shared" si="2"/>
        <v>1</v>
      </c>
      <c r="H152" t="s">
        <v>13</v>
      </c>
      <c r="I152" t="s">
        <v>19</v>
      </c>
      <c r="J152" t="s">
        <v>15</v>
      </c>
      <c r="K152" t="e">
        <f>VLOOKUP(J152,#REF!,2,FALSE)</f>
        <v>#REF!</v>
      </c>
      <c r="L152" t="s">
        <v>16</v>
      </c>
      <c r="M152" t="s">
        <v>26</v>
      </c>
    </row>
    <row r="153" spans="1:13" x14ac:dyDescent="0.25">
      <c r="A153" t="s">
        <v>256</v>
      </c>
      <c r="B153" t="s">
        <v>10</v>
      </c>
      <c r="C153" t="e">
        <f>VLOOKUP(B153,#REF!,2,FALSE)</f>
        <v>#REF!</v>
      </c>
      <c r="D153">
        <v>18</v>
      </c>
      <c r="E153" t="s">
        <v>11</v>
      </c>
      <c r="F153" t="s">
        <v>22</v>
      </c>
      <c r="G153">
        <f t="shared" si="2"/>
        <v>2</v>
      </c>
      <c r="H153" t="s">
        <v>13</v>
      </c>
      <c r="I153" t="s">
        <v>42</v>
      </c>
      <c r="J153" t="s">
        <v>15</v>
      </c>
      <c r="K153" t="e">
        <f>VLOOKUP(J153,#REF!,2,FALSE)</f>
        <v>#REF!</v>
      </c>
      <c r="L153" t="s">
        <v>257</v>
      </c>
      <c r="M153" t="s">
        <v>17</v>
      </c>
    </row>
    <row r="154" spans="1:13" x14ac:dyDescent="0.25">
      <c r="A154" t="s">
        <v>258</v>
      </c>
      <c r="B154" t="s">
        <v>10</v>
      </c>
      <c r="C154" t="e">
        <f>VLOOKUP(B154,#REF!,2,FALSE)</f>
        <v>#REF!</v>
      </c>
      <c r="D154">
        <v>17</v>
      </c>
      <c r="E154" t="s">
        <v>11</v>
      </c>
      <c r="F154" t="s">
        <v>12</v>
      </c>
      <c r="G154">
        <f t="shared" si="2"/>
        <v>1</v>
      </c>
      <c r="H154" t="s">
        <v>13</v>
      </c>
      <c r="I154" t="s">
        <v>14</v>
      </c>
      <c r="J154" t="s">
        <v>47</v>
      </c>
      <c r="K154" t="e">
        <f>VLOOKUP(J154,#REF!,2,FALSE)</f>
        <v>#REF!</v>
      </c>
      <c r="L154" t="s">
        <v>259</v>
      </c>
      <c r="M154" t="s">
        <v>17</v>
      </c>
    </row>
    <row r="155" spans="1:13" x14ac:dyDescent="0.25">
      <c r="A155" t="s">
        <v>260</v>
      </c>
      <c r="B155" t="s">
        <v>10</v>
      </c>
      <c r="C155" t="e">
        <f>VLOOKUP(B155,#REF!,2,FALSE)</f>
        <v>#REF!</v>
      </c>
      <c r="D155">
        <v>15</v>
      </c>
      <c r="E155" t="s">
        <v>11</v>
      </c>
      <c r="F155" t="s">
        <v>22</v>
      </c>
      <c r="G155">
        <f t="shared" si="2"/>
        <v>2</v>
      </c>
      <c r="H155" t="s">
        <v>13</v>
      </c>
      <c r="I155" t="s">
        <v>19</v>
      </c>
      <c r="J155" t="s">
        <v>24</v>
      </c>
      <c r="K155" t="e">
        <f>VLOOKUP(J155,#REF!,2,FALSE)</f>
        <v>#REF!</v>
      </c>
      <c r="L155" t="s">
        <v>16</v>
      </c>
      <c r="M155" t="s">
        <v>26</v>
      </c>
    </row>
    <row r="156" spans="1:13" x14ac:dyDescent="0.25">
      <c r="A156" t="s">
        <v>260</v>
      </c>
      <c r="B156" t="s">
        <v>10</v>
      </c>
      <c r="C156" t="e">
        <f>VLOOKUP(B156,#REF!,2,FALSE)</f>
        <v>#REF!</v>
      </c>
      <c r="D156">
        <v>16</v>
      </c>
      <c r="E156" t="s">
        <v>11</v>
      </c>
      <c r="F156" t="s">
        <v>22</v>
      </c>
      <c r="G156">
        <f t="shared" si="2"/>
        <v>2</v>
      </c>
      <c r="H156" t="s">
        <v>13</v>
      </c>
      <c r="I156" t="s">
        <v>14</v>
      </c>
      <c r="J156" t="s">
        <v>15</v>
      </c>
      <c r="K156" t="e">
        <f>VLOOKUP(J156,#REF!,2,FALSE)</f>
        <v>#REF!</v>
      </c>
      <c r="L156" t="s">
        <v>16</v>
      </c>
      <c r="M156" t="s">
        <v>26</v>
      </c>
    </row>
    <row r="157" spans="1:13" x14ac:dyDescent="0.25">
      <c r="A157" t="s">
        <v>261</v>
      </c>
      <c r="B157" t="s">
        <v>10</v>
      </c>
      <c r="C157" t="e">
        <f>VLOOKUP(B157,#REF!,2,FALSE)</f>
        <v>#REF!</v>
      </c>
      <c r="D157">
        <v>16</v>
      </c>
      <c r="E157" t="s">
        <v>11</v>
      </c>
      <c r="F157" t="s">
        <v>92</v>
      </c>
      <c r="G157">
        <v>0</v>
      </c>
      <c r="H157" t="s">
        <v>23</v>
      </c>
      <c r="I157" t="s">
        <v>262</v>
      </c>
      <c r="J157" t="s">
        <v>43</v>
      </c>
      <c r="K157" t="e">
        <f>VLOOKUP(J157,#REF!,2,FALSE)</f>
        <v>#REF!</v>
      </c>
      <c r="L157" t="s">
        <v>16</v>
      </c>
      <c r="M157" t="s">
        <v>26</v>
      </c>
    </row>
    <row r="158" spans="1:13" x14ac:dyDescent="0.25">
      <c r="A158" t="s">
        <v>263</v>
      </c>
      <c r="B158" t="s">
        <v>21</v>
      </c>
      <c r="C158" t="e">
        <f>VLOOKUP(B158,#REF!,2,FALSE)</f>
        <v>#REF!</v>
      </c>
      <c r="D158">
        <v>13</v>
      </c>
      <c r="E158" t="s">
        <v>11</v>
      </c>
      <c r="F158" t="s">
        <v>12</v>
      </c>
      <c r="G158">
        <f t="shared" si="2"/>
        <v>1</v>
      </c>
      <c r="H158" t="s">
        <v>13</v>
      </c>
      <c r="I158" t="s">
        <v>19</v>
      </c>
      <c r="J158" t="s">
        <v>24</v>
      </c>
      <c r="K158" t="e">
        <f>VLOOKUP(J158,#REF!,2,FALSE)</f>
        <v>#REF!</v>
      </c>
      <c r="L158" t="s">
        <v>264</v>
      </c>
      <c r="M158" t="s">
        <v>17</v>
      </c>
    </row>
    <row r="159" spans="1:13" x14ac:dyDescent="0.25">
      <c r="A159" t="s">
        <v>265</v>
      </c>
      <c r="B159" t="s">
        <v>21</v>
      </c>
      <c r="C159" t="e">
        <f>VLOOKUP(B159,#REF!,2,FALSE)</f>
        <v>#REF!</v>
      </c>
      <c r="D159">
        <v>11</v>
      </c>
      <c r="E159" t="s">
        <v>11</v>
      </c>
      <c r="F159" t="s">
        <v>12</v>
      </c>
      <c r="G159">
        <f t="shared" si="2"/>
        <v>1</v>
      </c>
      <c r="H159" t="s">
        <v>23</v>
      </c>
      <c r="I159" t="s">
        <v>266</v>
      </c>
      <c r="J159" t="s">
        <v>15</v>
      </c>
      <c r="K159" t="e">
        <f>VLOOKUP(J159,#REF!,2,FALSE)</f>
        <v>#REF!</v>
      </c>
      <c r="L159" t="s">
        <v>16</v>
      </c>
      <c r="M159" t="s">
        <v>26</v>
      </c>
    </row>
    <row r="160" spans="1:13" x14ac:dyDescent="0.25">
      <c r="A160" t="s">
        <v>267</v>
      </c>
      <c r="B160" t="s">
        <v>21</v>
      </c>
      <c r="C160" t="e">
        <f>VLOOKUP(B160,#REF!,2,FALSE)</f>
        <v>#REF!</v>
      </c>
      <c r="D160">
        <v>12</v>
      </c>
      <c r="E160" t="s">
        <v>11</v>
      </c>
      <c r="F160" t="s">
        <v>22</v>
      </c>
      <c r="G160">
        <f t="shared" si="2"/>
        <v>2</v>
      </c>
      <c r="H160" t="s">
        <v>13</v>
      </c>
      <c r="I160" t="s">
        <v>14</v>
      </c>
      <c r="J160" t="s">
        <v>24</v>
      </c>
      <c r="K160" t="e">
        <f>VLOOKUP(J160,#REF!,2,FALSE)</f>
        <v>#REF!</v>
      </c>
      <c r="L160" t="s">
        <v>268</v>
      </c>
      <c r="M160" t="s">
        <v>17</v>
      </c>
    </row>
    <row r="161" spans="1:13" x14ac:dyDescent="0.25">
      <c r="A161" t="s">
        <v>269</v>
      </c>
      <c r="B161" t="s">
        <v>21</v>
      </c>
      <c r="C161" t="e">
        <f>VLOOKUP(B161,#REF!,2,FALSE)</f>
        <v>#REF!</v>
      </c>
      <c r="D161">
        <v>13</v>
      </c>
      <c r="E161" t="s">
        <v>11</v>
      </c>
      <c r="F161" t="s">
        <v>12</v>
      </c>
      <c r="G161">
        <f t="shared" si="2"/>
        <v>1</v>
      </c>
      <c r="H161" t="s">
        <v>13</v>
      </c>
      <c r="I161" t="s">
        <v>19</v>
      </c>
      <c r="J161" t="s">
        <v>47</v>
      </c>
      <c r="K161" t="e">
        <f>VLOOKUP(J161,#REF!,2,FALSE)</f>
        <v>#REF!</v>
      </c>
      <c r="L161" t="s">
        <v>16</v>
      </c>
      <c r="M161" t="s">
        <v>17</v>
      </c>
    </row>
    <row r="162" spans="1:13" x14ac:dyDescent="0.25">
      <c r="A162" t="s">
        <v>270</v>
      </c>
      <c r="B162" t="s">
        <v>21</v>
      </c>
      <c r="C162" t="e">
        <f>VLOOKUP(B162,#REF!,2,FALSE)</f>
        <v>#REF!</v>
      </c>
      <c r="D162">
        <v>12</v>
      </c>
      <c r="E162" t="s">
        <v>11</v>
      </c>
      <c r="F162" t="s">
        <v>22</v>
      </c>
      <c r="G162">
        <f t="shared" si="2"/>
        <v>2</v>
      </c>
      <c r="H162" t="s">
        <v>13</v>
      </c>
      <c r="I162" t="s">
        <v>271</v>
      </c>
      <c r="J162" t="s">
        <v>24</v>
      </c>
      <c r="K162" t="e">
        <f>VLOOKUP(J162,#REF!,2,FALSE)</f>
        <v>#REF!</v>
      </c>
      <c r="L162" t="s">
        <v>272</v>
      </c>
      <c r="M162" t="s">
        <v>17</v>
      </c>
    </row>
    <row r="163" spans="1:13" x14ac:dyDescent="0.25">
      <c r="A163" t="s">
        <v>273</v>
      </c>
      <c r="B163" t="s">
        <v>21</v>
      </c>
      <c r="C163" t="e">
        <f>VLOOKUP(B163,#REF!,2,FALSE)</f>
        <v>#REF!</v>
      </c>
      <c r="D163">
        <v>11</v>
      </c>
      <c r="E163" t="s">
        <v>11</v>
      </c>
      <c r="F163" t="s">
        <v>12</v>
      </c>
      <c r="G163">
        <f t="shared" si="2"/>
        <v>1</v>
      </c>
      <c r="H163" t="s">
        <v>13</v>
      </c>
      <c r="I163" t="s">
        <v>19</v>
      </c>
      <c r="J163" t="s">
        <v>24</v>
      </c>
      <c r="K163" t="e">
        <f>VLOOKUP(J163,#REF!,2,FALSE)</f>
        <v>#REF!</v>
      </c>
      <c r="L163" t="s">
        <v>274</v>
      </c>
      <c r="M163" t="s">
        <v>26</v>
      </c>
    </row>
    <row r="164" spans="1:13" x14ac:dyDescent="0.25">
      <c r="A164" t="s">
        <v>275</v>
      </c>
      <c r="B164" t="s">
        <v>10</v>
      </c>
      <c r="C164" t="e">
        <f>VLOOKUP(B164,#REF!,2,FALSE)</f>
        <v>#REF!</v>
      </c>
      <c r="D164">
        <v>16</v>
      </c>
      <c r="E164" t="s">
        <v>11</v>
      </c>
      <c r="F164" t="s">
        <v>12</v>
      </c>
      <c r="G164">
        <f t="shared" si="2"/>
        <v>1</v>
      </c>
      <c r="H164" t="s">
        <v>23</v>
      </c>
      <c r="I164" t="s">
        <v>19</v>
      </c>
      <c r="J164" t="s">
        <v>24</v>
      </c>
      <c r="K164" t="e">
        <f>VLOOKUP(J164,#REF!,2,FALSE)</f>
        <v>#REF!</v>
      </c>
      <c r="L164" t="s">
        <v>16</v>
      </c>
      <c r="M164" t="s">
        <v>26</v>
      </c>
    </row>
    <row r="165" spans="1:13" x14ac:dyDescent="0.25">
      <c r="A165" t="s">
        <v>276</v>
      </c>
      <c r="B165" t="s">
        <v>10</v>
      </c>
      <c r="C165" t="e">
        <f>VLOOKUP(B165,#REF!,2,FALSE)</f>
        <v>#REF!</v>
      </c>
      <c r="D165">
        <v>16</v>
      </c>
      <c r="E165" t="s">
        <v>11</v>
      </c>
      <c r="F165" t="s">
        <v>12</v>
      </c>
      <c r="G165">
        <f t="shared" si="2"/>
        <v>1</v>
      </c>
      <c r="H165" t="s">
        <v>23</v>
      </c>
      <c r="J165" t="s">
        <v>15</v>
      </c>
      <c r="K165" t="e">
        <f>VLOOKUP(J165,#REF!,2,FALSE)</f>
        <v>#REF!</v>
      </c>
      <c r="M165" t="s">
        <v>26</v>
      </c>
    </row>
    <row r="166" spans="1:13" x14ac:dyDescent="0.25">
      <c r="A166" t="s">
        <v>277</v>
      </c>
      <c r="B166" t="s">
        <v>10</v>
      </c>
      <c r="C166" t="e">
        <f>VLOOKUP(B166,#REF!,2,FALSE)</f>
        <v>#REF!</v>
      </c>
      <c r="D166">
        <v>17</v>
      </c>
      <c r="E166" t="s">
        <v>11</v>
      </c>
      <c r="F166" t="s">
        <v>22</v>
      </c>
      <c r="G166">
        <f t="shared" si="2"/>
        <v>2</v>
      </c>
      <c r="H166" t="s">
        <v>13</v>
      </c>
      <c r="I166" t="s">
        <v>42</v>
      </c>
      <c r="J166" t="s">
        <v>15</v>
      </c>
      <c r="K166" t="e">
        <f>VLOOKUP(J166,#REF!,2,FALSE)</f>
        <v>#REF!</v>
      </c>
      <c r="L166" t="s">
        <v>67</v>
      </c>
      <c r="M166" t="s">
        <v>26</v>
      </c>
    </row>
    <row r="167" spans="1:13" x14ac:dyDescent="0.25">
      <c r="A167" t="s">
        <v>278</v>
      </c>
      <c r="B167" t="s">
        <v>10</v>
      </c>
      <c r="C167" t="e">
        <f>VLOOKUP(B167,#REF!,2,FALSE)</f>
        <v>#REF!</v>
      </c>
      <c r="D167">
        <v>15</v>
      </c>
      <c r="E167" t="s">
        <v>11</v>
      </c>
      <c r="F167" t="s">
        <v>22</v>
      </c>
      <c r="G167">
        <f t="shared" si="2"/>
        <v>2</v>
      </c>
      <c r="H167" t="s">
        <v>13</v>
      </c>
      <c r="I167" t="s">
        <v>30</v>
      </c>
      <c r="J167" t="s">
        <v>24</v>
      </c>
      <c r="K167" t="e">
        <f>VLOOKUP(J167,#REF!,2,FALSE)</f>
        <v>#REF!</v>
      </c>
      <c r="L167" t="s">
        <v>16</v>
      </c>
      <c r="M167" t="s">
        <v>17</v>
      </c>
    </row>
    <row r="168" spans="1:13" x14ac:dyDescent="0.25">
      <c r="A168" t="s">
        <v>279</v>
      </c>
      <c r="B168" t="s">
        <v>21</v>
      </c>
      <c r="C168" t="e">
        <f>VLOOKUP(B168,#REF!,2,FALSE)</f>
        <v>#REF!</v>
      </c>
      <c r="D168">
        <v>11</v>
      </c>
      <c r="E168" t="s">
        <v>11</v>
      </c>
      <c r="F168" t="s">
        <v>12</v>
      </c>
      <c r="G168">
        <f t="shared" si="2"/>
        <v>1</v>
      </c>
      <c r="H168" t="s">
        <v>23</v>
      </c>
      <c r="I168" t="s">
        <v>23</v>
      </c>
      <c r="J168" t="s">
        <v>47</v>
      </c>
      <c r="K168" t="e">
        <f>VLOOKUP(J168,#REF!,2,FALSE)</f>
        <v>#REF!</v>
      </c>
      <c r="L168" t="s">
        <v>16</v>
      </c>
      <c r="M168" t="s">
        <v>26</v>
      </c>
    </row>
    <row r="169" spans="1:13" x14ac:dyDescent="0.25">
      <c r="A169" t="s">
        <v>280</v>
      </c>
      <c r="B169" t="s">
        <v>10</v>
      </c>
      <c r="C169" t="e">
        <f>VLOOKUP(B169,#REF!,2,FALSE)</f>
        <v>#REF!</v>
      </c>
      <c r="D169">
        <v>15</v>
      </c>
      <c r="E169" t="s">
        <v>11</v>
      </c>
      <c r="F169" t="s">
        <v>92</v>
      </c>
      <c r="G169">
        <v>0</v>
      </c>
      <c r="H169" t="s">
        <v>13</v>
      </c>
      <c r="I169" t="s">
        <v>57</v>
      </c>
      <c r="J169" t="s">
        <v>24</v>
      </c>
      <c r="K169" t="e">
        <f>VLOOKUP(J169,#REF!,2,FALSE)</f>
        <v>#REF!</v>
      </c>
      <c r="L169" t="s">
        <v>16</v>
      </c>
      <c r="M169" t="s">
        <v>26</v>
      </c>
    </row>
    <row r="170" spans="1:13" x14ac:dyDescent="0.25">
      <c r="A170" t="s">
        <v>281</v>
      </c>
      <c r="B170" t="s">
        <v>21</v>
      </c>
      <c r="C170" t="e">
        <f>VLOOKUP(B170,#REF!,2,FALSE)</f>
        <v>#REF!</v>
      </c>
      <c r="D170">
        <v>11</v>
      </c>
      <c r="E170" t="s">
        <v>11</v>
      </c>
      <c r="F170" t="s">
        <v>22</v>
      </c>
      <c r="G170">
        <f t="shared" si="2"/>
        <v>2</v>
      </c>
      <c r="H170" t="s">
        <v>13</v>
      </c>
      <c r="I170" t="s">
        <v>282</v>
      </c>
      <c r="J170" t="s">
        <v>24</v>
      </c>
      <c r="K170" t="e">
        <f>VLOOKUP(J170,#REF!,2,FALSE)</f>
        <v>#REF!</v>
      </c>
      <c r="L170" t="s">
        <v>16</v>
      </c>
      <c r="M170" t="s">
        <v>17</v>
      </c>
    </row>
    <row r="171" spans="1:13" x14ac:dyDescent="0.25">
      <c r="A171" t="s">
        <v>283</v>
      </c>
      <c r="B171" t="s">
        <v>10</v>
      </c>
      <c r="C171" t="e">
        <f>VLOOKUP(B171,#REF!,2,FALSE)</f>
        <v>#REF!</v>
      </c>
      <c r="D171">
        <v>18</v>
      </c>
      <c r="E171" t="s">
        <v>11</v>
      </c>
      <c r="F171" t="s">
        <v>12</v>
      </c>
      <c r="G171">
        <f t="shared" si="2"/>
        <v>1</v>
      </c>
      <c r="H171" t="s">
        <v>13</v>
      </c>
      <c r="I171" t="s">
        <v>14</v>
      </c>
      <c r="J171" t="s">
        <v>24</v>
      </c>
      <c r="K171" t="e">
        <f>VLOOKUP(J171,#REF!,2,FALSE)</f>
        <v>#REF!</v>
      </c>
      <c r="L171" t="s">
        <v>16</v>
      </c>
      <c r="M171" t="s">
        <v>26</v>
      </c>
    </row>
    <row r="172" spans="1:13" x14ac:dyDescent="0.25">
      <c r="A172" t="s">
        <v>284</v>
      </c>
      <c r="B172" t="s">
        <v>21</v>
      </c>
      <c r="C172" t="e">
        <f>VLOOKUP(B172,#REF!,2,FALSE)</f>
        <v>#REF!</v>
      </c>
      <c r="D172">
        <v>14</v>
      </c>
      <c r="E172" t="s">
        <v>11</v>
      </c>
      <c r="F172" t="s">
        <v>22</v>
      </c>
      <c r="G172">
        <f t="shared" si="2"/>
        <v>2</v>
      </c>
      <c r="H172" t="s">
        <v>23</v>
      </c>
      <c r="I172" t="s">
        <v>285</v>
      </c>
      <c r="J172" t="s">
        <v>24</v>
      </c>
      <c r="K172" t="e">
        <f>VLOOKUP(J172,#REF!,2,FALSE)</f>
        <v>#REF!</v>
      </c>
      <c r="M172" t="s">
        <v>17</v>
      </c>
    </row>
    <row r="173" spans="1:13" x14ac:dyDescent="0.25">
      <c r="A173" t="s">
        <v>286</v>
      </c>
      <c r="B173" t="s">
        <v>10</v>
      </c>
      <c r="C173" t="e">
        <f>VLOOKUP(B173,#REF!,2,FALSE)</f>
        <v>#REF!</v>
      </c>
      <c r="D173">
        <v>17</v>
      </c>
      <c r="E173" t="s">
        <v>11</v>
      </c>
      <c r="F173" t="s">
        <v>22</v>
      </c>
      <c r="G173">
        <f t="shared" si="2"/>
        <v>2</v>
      </c>
      <c r="H173" t="s">
        <v>13</v>
      </c>
      <c r="I173" t="s">
        <v>19</v>
      </c>
      <c r="J173" t="s">
        <v>24</v>
      </c>
      <c r="K173" t="e">
        <f>VLOOKUP(J173,#REF!,2,FALSE)</f>
        <v>#REF!</v>
      </c>
      <c r="L173" t="s">
        <v>287</v>
      </c>
      <c r="M173" t="s">
        <v>17</v>
      </c>
    </row>
    <row r="174" spans="1:13" x14ac:dyDescent="0.25">
      <c r="A174" t="s">
        <v>288</v>
      </c>
      <c r="B174" t="s">
        <v>21</v>
      </c>
      <c r="C174" t="e">
        <f>VLOOKUP(B174,#REF!,2,FALSE)</f>
        <v>#REF!</v>
      </c>
      <c r="D174">
        <v>13</v>
      </c>
      <c r="E174" t="s">
        <v>11</v>
      </c>
      <c r="F174" t="s">
        <v>22</v>
      </c>
      <c r="G174">
        <f t="shared" si="2"/>
        <v>2</v>
      </c>
      <c r="I174" t="s">
        <v>42</v>
      </c>
      <c r="J174" t="s">
        <v>15</v>
      </c>
      <c r="K174" t="e">
        <f>VLOOKUP(J174,#REF!,2,FALSE)</f>
        <v>#REF!</v>
      </c>
      <c r="L174" t="s">
        <v>16</v>
      </c>
      <c r="M174" t="s">
        <v>17</v>
      </c>
    </row>
    <row r="175" spans="1:13" x14ac:dyDescent="0.25">
      <c r="A175" t="s">
        <v>289</v>
      </c>
      <c r="B175" t="s">
        <v>10</v>
      </c>
      <c r="C175" t="e">
        <f>VLOOKUP(B175,#REF!,2,FALSE)</f>
        <v>#REF!</v>
      </c>
      <c r="D175">
        <v>17</v>
      </c>
      <c r="E175" t="s">
        <v>11</v>
      </c>
      <c r="F175" t="s">
        <v>12</v>
      </c>
      <c r="G175">
        <f t="shared" si="2"/>
        <v>1</v>
      </c>
      <c r="H175" t="s">
        <v>13</v>
      </c>
      <c r="I175" t="s">
        <v>19</v>
      </c>
      <c r="J175" t="s">
        <v>24</v>
      </c>
      <c r="K175" t="e">
        <f>VLOOKUP(J175,#REF!,2,FALSE)</f>
        <v>#REF!</v>
      </c>
      <c r="L175" t="s">
        <v>290</v>
      </c>
      <c r="M175" t="s">
        <v>26</v>
      </c>
    </row>
    <row r="176" spans="1:13" x14ac:dyDescent="0.25">
      <c r="A176" t="s">
        <v>291</v>
      </c>
      <c r="B176" t="s">
        <v>21</v>
      </c>
      <c r="C176" t="e">
        <f>VLOOKUP(B176,#REF!,2,FALSE)</f>
        <v>#REF!</v>
      </c>
      <c r="D176">
        <v>14</v>
      </c>
      <c r="E176" t="s">
        <v>11</v>
      </c>
      <c r="F176" t="s">
        <v>22</v>
      </c>
      <c r="G176">
        <f t="shared" si="2"/>
        <v>2</v>
      </c>
      <c r="H176" t="s">
        <v>13</v>
      </c>
      <c r="I176" t="s">
        <v>292</v>
      </c>
      <c r="J176" t="s">
        <v>24</v>
      </c>
      <c r="K176" t="e">
        <f>VLOOKUP(J176,#REF!,2,FALSE)</f>
        <v>#REF!</v>
      </c>
      <c r="L176" t="s">
        <v>16</v>
      </c>
      <c r="M176" t="s">
        <v>26</v>
      </c>
    </row>
    <row r="177" spans="1:13" x14ac:dyDescent="0.25">
      <c r="A177" t="s">
        <v>293</v>
      </c>
      <c r="B177" t="s">
        <v>21</v>
      </c>
      <c r="C177" t="e">
        <f>VLOOKUP(B177,#REF!,2,FALSE)</f>
        <v>#REF!</v>
      </c>
      <c r="D177">
        <v>13</v>
      </c>
      <c r="E177" t="s">
        <v>11</v>
      </c>
      <c r="F177" t="s">
        <v>12</v>
      </c>
      <c r="G177">
        <f t="shared" si="2"/>
        <v>1</v>
      </c>
      <c r="H177" t="s">
        <v>13</v>
      </c>
      <c r="I177" t="s">
        <v>30</v>
      </c>
      <c r="J177" t="s">
        <v>24</v>
      </c>
      <c r="K177" t="e">
        <f>VLOOKUP(J177,#REF!,2,FALSE)</f>
        <v>#REF!</v>
      </c>
      <c r="L177" t="s">
        <v>294</v>
      </c>
      <c r="M177" t="s">
        <v>26</v>
      </c>
    </row>
    <row r="178" spans="1:13" x14ac:dyDescent="0.25">
      <c r="A178" t="s">
        <v>295</v>
      </c>
      <c r="B178" t="s">
        <v>21</v>
      </c>
      <c r="C178" t="e">
        <f>VLOOKUP(B178,#REF!,2,FALSE)</f>
        <v>#REF!</v>
      </c>
      <c r="D178">
        <v>12</v>
      </c>
      <c r="E178" t="s">
        <v>11</v>
      </c>
      <c r="F178" t="s">
        <v>22</v>
      </c>
      <c r="G178">
        <f t="shared" si="2"/>
        <v>2</v>
      </c>
      <c r="H178" t="s">
        <v>13</v>
      </c>
      <c r="I178" t="s">
        <v>14</v>
      </c>
      <c r="J178" t="s">
        <v>24</v>
      </c>
      <c r="K178" t="e">
        <f>VLOOKUP(J178,#REF!,2,FALSE)</f>
        <v>#REF!</v>
      </c>
      <c r="L178" t="s">
        <v>67</v>
      </c>
      <c r="M178" t="s">
        <v>26</v>
      </c>
    </row>
    <row r="179" spans="1:13" x14ac:dyDescent="0.25">
      <c r="A179" t="s">
        <v>296</v>
      </c>
      <c r="B179" t="s">
        <v>54</v>
      </c>
      <c r="C179" t="e">
        <f>VLOOKUP(B179,#REF!,2,FALSE)</f>
        <v>#REF!</v>
      </c>
      <c r="D179">
        <v>38</v>
      </c>
      <c r="E179" t="s">
        <v>41</v>
      </c>
      <c r="F179" t="s">
        <v>22</v>
      </c>
      <c r="G179">
        <f t="shared" si="2"/>
        <v>2</v>
      </c>
      <c r="H179" t="s">
        <v>13</v>
      </c>
      <c r="I179" t="s">
        <v>42</v>
      </c>
      <c r="J179" t="s">
        <v>24</v>
      </c>
      <c r="K179" t="e">
        <f>VLOOKUP(J179,#REF!,2,FALSE)</f>
        <v>#REF!</v>
      </c>
      <c r="L179" t="s">
        <v>16</v>
      </c>
      <c r="M179" t="s">
        <v>26</v>
      </c>
    </row>
    <row r="180" spans="1:13" x14ac:dyDescent="0.25">
      <c r="A180" t="s">
        <v>297</v>
      </c>
      <c r="B180" t="s">
        <v>10</v>
      </c>
      <c r="C180" t="e">
        <f>VLOOKUP(B180,#REF!,2,FALSE)</f>
        <v>#REF!</v>
      </c>
      <c r="D180">
        <v>18</v>
      </c>
      <c r="E180" t="s">
        <v>11</v>
      </c>
      <c r="F180" t="s">
        <v>12</v>
      </c>
      <c r="G180">
        <f t="shared" si="2"/>
        <v>1</v>
      </c>
      <c r="H180" t="s">
        <v>23</v>
      </c>
      <c r="I180" t="s">
        <v>298</v>
      </c>
      <c r="J180" t="s">
        <v>15</v>
      </c>
      <c r="K180" t="e">
        <f>VLOOKUP(J180,#REF!,2,FALSE)</f>
        <v>#REF!</v>
      </c>
      <c r="L180" t="s">
        <v>299</v>
      </c>
      <c r="M180" t="s">
        <v>26</v>
      </c>
    </row>
    <row r="181" spans="1:13" x14ac:dyDescent="0.25">
      <c r="A181" t="s">
        <v>300</v>
      </c>
      <c r="B181" t="s">
        <v>10</v>
      </c>
      <c r="C181" t="e">
        <f>VLOOKUP(B181,#REF!,2,FALSE)</f>
        <v>#REF!</v>
      </c>
      <c r="D181">
        <v>16</v>
      </c>
      <c r="E181" t="s">
        <v>11</v>
      </c>
      <c r="F181" t="s">
        <v>22</v>
      </c>
      <c r="G181">
        <f t="shared" si="2"/>
        <v>2</v>
      </c>
      <c r="H181" t="s">
        <v>23</v>
      </c>
      <c r="I181" t="s">
        <v>19</v>
      </c>
      <c r="J181" t="s">
        <v>47</v>
      </c>
      <c r="K181" t="e">
        <f>VLOOKUP(J181,#REF!,2,FALSE)</f>
        <v>#REF!</v>
      </c>
      <c r="L181" t="s">
        <v>60</v>
      </c>
      <c r="M181" t="s">
        <v>26</v>
      </c>
    </row>
    <row r="182" spans="1:13" x14ac:dyDescent="0.25">
      <c r="A182" t="s">
        <v>301</v>
      </c>
      <c r="B182" t="s">
        <v>21</v>
      </c>
      <c r="C182" t="e">
        <f>VLOOKUP(B182,#REF!,2,FALSE)</f>
        <v>#REF!</v>
      </c>
      <c r="D182">
        <v>14</v>
      </c>
      <c r="E182" t="s">
        <v>11</v>
      </c>
      <c r="F182" t="s">
        <v>22</v>
      </c>
      <c r="G182">
        <f t="shared" si="2"/>
        <v>2</v>
      </c>
      <c r="H182" t="s">
        <v>13</v>
      </c>
      <c r="I182" t="s">
        <v>30</v>
      </c>
      <c r="J182" t="s">
        <v>15</v>
      </c>
      <c r="K182" t="e">
        <f>VLOOKUP(J182,#REF!,2,FALSE)</f>
        <v>#REF!</v>
      </c>
      <c r="L182" t="s">
        <v>16</v>
      </c>
      <c r="M182" t="s">
        <v>17</v>
      </c>
    </row>
    <row r="183" spans="1:13" x14ac:dyDescent="0.25">
      <c r="A183" t="s">
        <v>302</v>
      </c>
      <c r="B183" t="s">
        <v>10</v>
      </c>
      <c r="C183" t="e">
        <f>VLOOKUP(B183,#REF!,2,FALSE)</f>
        <v>#REF!</v>
      </c>
      <c r="D183">
        <v>18</v>
      </c>
      <c r="E183" t="s">
        <v>11</v>
      </c>
      <c r="F183" t="s">
        <v>22</v>
      </c>
      <c r="G183">
        <f t="shared" si="2"/>
        <v>2</v>
      </c>
      <c r="H183" t="s">
        <v>13</v>
      </c>
      <c r="I183" t="s">
        <v>30</v>
      </c>
      <c r="J183" t="s">
        <v>24</v>
      </c>
      <c r="K183" t="e">
        <f>VLOOKUP(J183,#REF!,2,FALSE)</f>
        <v>#REF!</v>
      </c>
      <c r="L183" t="s">
        <v>16</v>
      </c>
      <c r="M183" t="s">
        <v>26</v>
      </c>
    </row>
    <row r="184" spans="1:13" x14ac:dyDescent="0.25">
      <c r="A184" t="s">
        <v>303</v>
      </c>
      <c r="B184" t="s">
        <v>21</v>
      </c>
      <c r="C184" t="e">
        <f>VLOOKUP(B184,#REF!,2,FALSE)</f>
        <v>#REF!</v>
      </c>
      <c r="D184">
        <v>11</v>
      </c>
      <c r="E184" t="s">
        <v>11</v>
      </c>
      <c r="F184" t="s">
        <v>22</v>
      </c>
      <c r="G184">
        <f t="shared" si="2"/>
        <v>2</v>
      </c>
      <c r="H184" t="s">
        <v>13</v>
      </c>
      <c r="I184" t="s">
        <v>19</v>
      </c>
      <c r="J184" t="s">
        <v>24</v>
      </c>
      <c r="K184" t="e">
        <f>VLOOKUP(J184,#REF!,2,FALSE)</f>
        <v>#REF!</v>
      </c>
      <c r="L184" t="s">
        <v>67</v>
      </c>
      <c r="M184" t="s">
        <v>17</v>
      </c>
    </row>
    <row r="185" spans="1:13" x14ac:dyDescent="0.25">
      <c r="A185" t="s">
        <v>304</v>
      </c>
      <c r="B185" t="s">
        <v>21</v>
      </c>
      <c r="C185" t="e">
        <f>VLOOKUP(B185,#REF!,2,FALSE)</f>
        <v>#REF!</v>
      </c>
      <c r="D185">
        <v>13</v>
      </c>
      <c r="E185" t="s">
        <v>11</v>
      </c>
      <c r="F185" t="s">
        <v>12</v>
      </c>
      <c r="G185">
        <f t="shared" si="2"/>
        <v>1</v>
      </c>
      <c r="H185" t="s">
        <v>13</v>
      </c>
      <c r="I185" t="s">
        <v>19</v>
      </c>
      <c r="J185" t="s">
        <v>43</v>
      </c>
      <c r="K185" t="e">
        <f>VLOOKUP(J185,#REF!,2,FALSE)</f>
        <v>#REF!</v>
      </c>
      <c r="L185" t="s">
        <v>16</v>
      </c>
      <c r="M185" t="s">
        <v>17</v>
      </c>
    </row>
    <row r="186" spans="1:13" x14ac:dyDescent="0.25">
      <c r="A186" t="s">
        <v>305</v>
      </c>
      <c r="B186" t="s">
        <v>21</v>
      </c>
      <c r="C186" t="e">
        <f>VLOOKUP(B186,#REF!,2,FALSE)</f>
        <v>#REF!</v>
      </c>
      <c r="D186">
        <v>12</v>
      </c>
      <c r="E186" t="s">
        <v>11</v>
      </c>
      <c r="F186" t="s">
        <v>12</v>
      </c>
      <c r="G186">
        <f t="shared" si="2"/>
        <v>1</v>
      </c>
      <c r="H186" t="s">
        <v>13</v>
      </c>
      <c r="I186" t="s">
        <v>14</v>
      </c>
      <c r="J186" t="s">
        <v>24</v>
      </c>
      <c r="K186" t="e">
        <f>VLOOKUP(J186,#REF!,2,FALSE)</f>
        <v>#REF!</v>
      </c>
      <c r="L186" t="s">
        <v>60</v>
      </c>
      <c r="M186" t="s">
        <v>26</v>
      </c>
    </row>
    <row r="187" spans="1:13" x14ac:dyDescent="0.25">
      <c r="A187" t="s">
        <v>306</v>
      </c>
      <c r="B187" t="s">
        <v>10</v>
      </c>
      <c r="C187" t="e">
        <f>VLOOKUP(B187,#REF!,2,FALSE)</f>
        <v>#REF!</v>
      </c>
      <c r="D187">
        <v>16</v>
      </c>
      <c r="E187" t="s">
        <v>11</v>
      </c>
      <c r="F187" t="s">
        <v>22</v>
      </c>
      <c r="G187">
        <f t="shared" si="2"/>
        <v>2</v>
      </c>
      <c r="H187" t="s">
        <v>13</v>
      </c>
      <c r="I187" t="s">
        <v>30</v>
      </c>
      <c r="J187" t="s">
        <v>24</v>
      </c>
      <c r="K187" t="e">
        <f>VLOOKUP(J187,#REF!,2,FALSE)</f>
        <v>#REF!</v>
      </c>
      <c r="L187" t="s">
        <v>16</v>
      </c>
      <c r="M187" t="s">
        <v>26</v>
      </c>
    </row>
    <row r="188" spans="1:13" x14ac:dyDescent="0.25">
      <c r="A188" t="s">
        <v>307</v>
      </c>
      <c r="B188" t="s">
        <v>21</v>
      </c>
      <c r="C188" t="e">
        <f>VLOOKUP(B188,#REF!,2,FALSE)</f>
        <v>#REF!</v>
      </c>
      <c r="D188">
        <v>13</v>
      </c>
      <c r="E188" t="s">
        <v>11</v>
      </c>
      <c r="F188" t="s">
        <v>22</v>
      </c>
      <c r="G188">
        <f t="shared" si="2"/>
        <v>2</v>
      </c>
      <c r="H188" t="s">
        <v>13</v>
      </c>
      <c r="I188" t="s">
        <v>30</v>
      </c>
      <c r="J188" t="s">
        <v>24</v>
      </c>
      <c r="K188" t="e">
        <f>VLOOKUP(J188,#REF!,2,FALSE)</f>
        <v>#REF!</v>
      </c>
      <c r="L188" t="s">
        <v>308</v>
      </c>
      <c r="M188" t="s">
        <v>26</v>
      </c>
    </row>
    <row r="189" spans="1:13" x14ac:dyDescent="0.25">
      <c r="A189" t="s">
        <v>309</v>
      </c>
      <c r="B189" t="s">
        <v>10</v>
      </c>
      <c r="C189" t="e">
        <f>VLOOKUP(B189,#REF!,2,FALSE)</f>
        <v>#REF!</v>
      </c>
      <c r="D189">
        <v>17</v>
      </c>
      <c r="E189" t="s">
        <v>11</v>
      </c>
      <c r="F189" t="s">
        <v>22</v>
      </c>
      <c r="G189">
        <f t="shared" si="2"/>
        <v>2</v>
      </c>
      <c r="H189" t="s">
        <v>13</v>
      </c>
      <c r="I189" t="s">
        <v>42</v>
      </c>
      <c r="J189" t="s">
        <v>47</v>
      </c>
      <c r="K189" t="e">
        <f>VLOOKUP(J189,#REF!,2,FALSE)</f>
        <v>#REF!</v>
      </c>
      <c r="L189" t="s">
        <v>16</v>
      </c>
      <c r="M189" t="s">
        <v>17</v>
      </c>
    </row>
    <row r="190" spans="1:13" x14ac:dyDescent="0.25">
      <c r="A190" t="s">
        <v>310</v>
      </c>
      <c r="B190" t="s">
        <v>10</v>
      </c>
      <c r="C190" t="e">
        <f>VLOOKUP(B190,#REF!,2,FALSE)</f>
        <v>#REF!</v>
      </c>
      <c r="D190">
        <v>16</v>
      </c>
      <c r="E190" t="s">
        <v>11</v>
      </c>
      <c r="F190" t="s">
        <v>22</v>
      </c>
      <c r="G190">
        <f t="shared" si="2"/>
        <v>2</v>
      </c>
      <c r="H190" t="s">
        <v>23</v>
      </c>
      <c r="I190" t="s">
        <v>30</v>
      </c>
      <c r="J190" t="s">
        <v>24</v>
      </c>
      <c r="K190" t="e">
        <f>VLOOKUP(J190,#REF!,2,FALSE)</f>
        <v>#REF!</v>
      </c>
      <c r="L190" t="s">
        <v>16</v>
      </c>
      <c r="M190" t="s">
        <v>17</v>
      </c>
    </row>
    <row r="191" spans="1:13" x14ac:dyDescent="0.25">
      <c r="A191" t="s">
        <v>311</v>
      </c>
      <c r="B191" t="s">
        <v>10</v>
      </c>
      <c r="C191" t="e">
        <f>VLOOKUP(B191,#REF!,2,FALSE)</f>
        <v>#REF!</v>
      </c>
      <c r="D191">
        <v>16</v>
      </c>
      <c r="E191" t="s">
        <v>11</v>
      </c>
      <c r="F191" t="s">
        <v>12</v>
      </c>
      <c r="G191">
        <f t="shared" si="2"/>
        <v>1</v>
      </c>
      <c r="H191" t="s">
        <v>13</v>
      </c>
      <c r="I191" t="s">
        <v>14</v>
      </c>
      <c r="J191" t="s">
        <v>47</v>
      </c>
      <c r="K191" t="e">
        <f>VLOOKUP(J191,#REF!,2,FALSE)</f>
        <v>#REF!</v>
      </c>
      <c r="L191" t="s">
        <v>16</v>
      </c>
      <c r="M191" t="s">
        <v>17</v>
      </c>
    </row>
    <row r="192" spans="1:13" x14ac:dyDescent="0.25">
      <c r="A192" t="s">
        <v>312</v>
      </c>
      <c r="B192" t="s">
        <v>10</v>
      </c>
      <c r="C192" t="e">
        <f>VLOOKUP(B192,#REF!,2,FALSE)</f>
        <v>#REF!</v>
      </c>
      <c r="D192">
        <v>15</v>
      </c>
      <c r="E192" t="s">
        <v>11</v>
      </c>
      <c r="F192" t="s">
        <v>22</v>
      </c>
      <c r="G192">
        <f t="shared" si="2"/>
        <v>2</v>
      </c>
      <c r="H192" t="s">
        <v>13</v>
      </c>
      <c r="I192" t="s">
        <v>14</v>
      </c>
      <c r="J192" t="s">
        <v>24</v>
      </c>
      <c r="K192" t="e">
        <f>VLOOKUP(J192,#REF!,2,FALSE)</f>
        <v>#REF!</v>
      </c>
      <c r="L192" t="s">
        <v>16</v>
      </c>
      <c r="M192" t="s">
        <v>26</v>
      </c>
    </row>
    <row r="193" spans="1:13" x14ac:dyDescent="0.25">
      <c r="A193" t="s">
        <v>313</v>
      </c>
      <c r="B193" t="s">
        <v>10</v>
      </c>
      <c r="C193" t="e">
        <f>VLOOKUP(B193,#REF!,2,FALSE)</f>
        <v>#REF!</v>
      </c>
      <c r="D193">
        <v>16</v>
      </c>
      <c r="E193" t="s">
        <v>11</v>
      </c>
      <c r="F193" t="s">
        <v>22</v>
      </c>
      <c r="G193">
        <f t="shared" si="2"/>
        <v>2</v>
      </c>
      <c r="H193" t="s">
        <v>13</v>
      </c>
      <c r="I193" t="s">
        <v>19</v>
      </c>
      <c r="J193" t="s">
        <v>24</v>
      </c>
      <c r="K193" t="e">
        <f>VLOOKUP(J193,#REF!,2,FALSE)</f>
        <v>#REF!</v>
      </c>
      <c r="L193" t="s">
        <v>16</v>
      </c>
      <c r="M193" t="s">
        <v>17</v>
      </c>
    </row>
    <row r="194" spans="1:13" x14ac:dyDescent="0.25">
      <c r="A194" t="s">
        <v>314</v>
      </c>
      <c r="B194" t="s">
        <v>10</v>
      </c>
      <c r="C194" t="e">
        <f>VLOOKUP(B194,#REF!,2,FALSE)</f>
        <v>#REF!</v>
      </c>
      <c r="D194">
        <v>18</v>
      </c>
      <c r="E194" t="s">
        <v>11</v>
      </c>
      <c r="F194" t="s">
        <v>22</v>
      </c>
      <c r="G194">
        <f t="shared" si="2"/>
        <v>2</v>
      </c>
      <c r="H194" t="s">
        <v>13</v>
      </c>
      <c r="I194" t="s">
        <v>14</v>
      </c>
      <c r="J194" t="s">
        <v>24</v>
      </c>
      <c r="K194" t="e">
        <f>VLOOKUP(J194,#REF!,2,FALSE)</f>
        <v>#REF!</v>
      </c>
      <c r="M194" t="s">
        <v>26</v>
      </c>
    </row>
    <row r="195" spans="1:13" x14ac:dyDescent="0.25">
      <c r="A195" t="s">
        <v>315</v>
      </c>
      <c r="B195" t="s">
        <v>21</v>
      </c>
      <c r="C195" t="e">
        <f>VLOOKUP(B195,#REF!,2,FALSE)</f>
        <v>#REF!</v>
      </c>
      <c r="D195">
        <v>11</v>
      </c>
      <c r="E195" t="s">
        <v>11</v>
      </c>
      <c r="F195" t="s">
        <v>22</v>
      </c>
      <c r="G195">
        <f t="shared" ref="G195:G257" si="3">IF(EXACT(F195,"Weiblich"),2,1)</f>
        <v>2</v>
      </c>
      <c r="H195" t="s">
        <v>23</v>
      </c>
      <c r="I195" t="s">
        <v>30</v>
      </c>
      <c r="J195" t="s">
        <v>24</v>
      </c>
      <c r="K195" t="e">
        <f>VLOOKUP(J195,#REF!,2,FALSE)</f>
        <v>#REF!</v>
      </c>
      <c r="L195" t="s">
        <v>16</v>
      </c>
      <c r="M195" t="s">
        <v>26</v>
      </c>
    </row>
    <row r="196" spans="1:13" x14ac:dyDescent="0.25">
      <c r="A196" t="s">
        <v>316</v>
      </c>
      <c r="B196" t="s">
        <v>21</v>
      </c>
      <c r="C196" t="e">
        <f>VLOOKUP(B196,#REF!,2,FALSE)</f>
        <v>#REF!</v>
      </c>
      <c r="D196">
        <v>13</v>
      </c>
      <c r="E196" t="s">
        <v>11</v>
      </c>
      <c r="F196" t="s">
        <v>12</v>
      </c>
      <c r="G196">
        <f t="shared" si="3"/>
        <v>1</v>
      </c>
      <c r="H196" t="s">
        <v>23</v>
      </c>
      <c r="I196" t="s">
        <v>19</v>
      </c>
      <c r="J196" t="s">
        <v>24</v>
      </c>
      <c r="K196" t="e">
        <f>VLOOKUP(J196,#REF!,2,FALSE)</f>
        <v>#REF!</v>
      </c>
      <c r="L196" t="s">
        <v>16</v>
      </c>
      <c r="M196" t="s">
        <v>26</v>
      </c>
    </row>
    <row r="197" spans="1:13" x14ac:dyDescent="0.25">
      <c r="A197" t="s">
        <v>317</v>
      </c>
      <c r="B197" t="s">
        <v>21</v>
      </c>
      <c r="C197" t="e">
        <f>VLOOKUP(B197,#REF!,2,FALSE)</f>
        <v>#REF!</v>
      </c>
      <c r="D197">
        <v>14</v>
      </c>
      <c r="E197" t="s">
        <v>11</v>
      </c>
      <c r="F197" t="s">
        <v>12</v>
      </c>
      <c r="G197">
        <f t="shared" si="3"/>
        <v>1</v>
      </c>
      <c r="H197" t="s">
        <v>13</v>
      </c>
      <c r="I197" t="s">
        <v>19</v>
      </c>
      <c r="J197" t="s">
        <v>24</v>
      </c>
      <c r="K197" t="e">
        <f>VLOOKUP(J197,#REF!,2,FALSE)</f>
        <v>#REF!</v>
      </c>
      <c r="L197" t="s">
        <v>16</v>
      </c>
      <c r="M197" t="s">
        <v>17</v>
      </c>
    </row>
    <row r="198" spans="1:13" x14ac:dyDescent="0.25">
      <c r="A198" t="s">
        <v>318</v>
      </c>
      <c r="B198" t="s">
        <v>21</v>
      </c>
      <c r="C198" t="e">
        <f>VLOOKUP(B198,#REF!,2,FALSE)</f>
        <v>#REF!</v>
      </c>
      <c r="D198">
        <v>12</v>
      </c>
      <c r="E198" t="s">
        <v>11</v>
      </c>
      <c r="F198" t="s">
        <v>22</v>
      </c>
      <c r="G198">
        <f t="shared" si="3"/>
        <v>2</v>
      </c>
      <c r="H198" t="s">
        <v>13</v>
      </c>
      <c r="I198" t="s">
        <v>30</v>
      </c>
      <c r="J198" t="s">
        <v>24</v>
      </c>
      <c r="K198" t="e">
        <f>VLOOKUP(J198,#REF!,2,FALSE)</f>
        <v>#REF!</v>
      </c>
      <c r="M198" t="s">
        <v>26</v>
      </c>
    </row>
    <row r="199" spans="1:13" x14ac:dyDescent="0.25">
      <c r="A199" t="s">
        <v>319</v>
      </c>
      <c r="B199" t="s">
        <v>21</v>
      </c>
      <c r="C199" t="e">
        <f>VLOOKUP(B199,#REF!,2,FALSE)</f>
        <v>#REF!</v>
      </c>
      <c r="D199">
        <v>12</v>
      </c>
      <c r="E199" t="s">
        <v>11</v>
      </c>
      <c r="F199" t="s">
        <v>22</v>
      </c>
      <c r="G199">
        <f t="shared" si="3"/>
        <v>2</v>
      </c>
      <c r="H199" t="s">
        <v>13</v>
      </c>
      <c r="I199" t="s">
        <v>19</v>
      </c>
      <c r="J199" t="s">
        <v>24</v>
      </c>
      <c r="K199" t="e">
        <f>VLOOKUP(J199,#REF!,2,FALSE)</f>
        <v>#REF!</v>
      </c>
      <c r="L199" t="s">
        <v>16</v>
      </c>
      <c r="M199" t="s">
        <v>26</v>
      </c>
    </row>
    <row r="200" spans="1:13" x14ac:dyDescent="0.25">
      <c r="A200" t="s">
        <v>320</v>
      </c>
      <c r="B200" t="s">
        <v>10</v>
      </c>
      <c r="C200" t="e">
        <f>VLOOKUP(B200,#REF!,2,FALSE)</f>
        <v>#REF!</v>
      </c>
      <c r="D200">
        <v>15</v>
      </c>
      <c r="E200" t="s">
        <v>11</v>
      </c>
      <c r="F200" t="s">
        <v>12</v>
      </c>
      <c r="G200">
        <f t="shared" si="3"/>
        <v>1</v>
      </c>
      <c r="H200" t="s">
        <v>13</v>
      </c>
      <c r="I200" t="s">
        <v>19</v>
      </c>
      <c r="J200" t="s">
        <v>15</v>
      </c>
      <c r="K200" t="e">
        <f>VLOOKUP(J200,#REF!,2,FALSE)</f>
        <v>#REF!</v>
      </c>
      <c r="L200" t="s">
        <v>321</v>
      </c>
      <c r="M200" t="s">
        <v>17</v>
      </c>
    </row>
    <row r="201" spans="1:13" x14ac:dyDescent="0.25">
      <c r="A201" t="s">
        <v>322</v>
      </c>
      <c r="B201" t="s">
        <v>40</v>
      </c>
      <c r="C201" t="e">
        <f>VLOOKUP(B201,#REF!,2,FALSE)</f>
        <v>#REF!</v>
      </c>
      <c r="D201">
        <v>53</v>
      </c>
      <c r="E201" t="s">
        <v>52</v>
      </c>
      <c r="F201" t="s">
        <v>12</v>
      </c>
      <c r="G201">
        <f t="shared" si="3"/>
        <v>1</v>
      </c>
      <c r="H201" t="s">
        <v>23</v>
      </c>
      <c r="I201" t="s">
        <v>14</v>
      </c>
      <c r="J201" t="s">
        <v>43</v>
      </c>
      <c r="K201" t="e">
        <f>VLOOKUP(J201,#REF!,2,FALSE)</f>
        <v>#REF!</v>
      </c>
      <c r="L201" t="s">
        <v>323</v>
      </c>
      <c r="M201" t="s">
        <v>26</v>
      </c>
    </row>
    <row r="202" spans="1:13" x14ac:dyDescent="0.25">
      <c r="A202" t="s">
        <v>324</v>
      </c>
      <c r="B202" t="s">
        <v>21</v>
      </c>
      <c r="C202" t="e">
        <f>VLOOKUP(B202,#REF!,2,FALSE)</f>
        <v>#REF!</v>
      </c>
      <c r="D202">
        <v>14</v>
      </c>
      <c r="E202" t="s">
        <v>11</v>
      </c>
      <c r="F202" t="s">
        <v>12</v>
      </c>
      <c r="G202">
        <f t="shared" si="3"/>
        <v>1</v>
      </c>
      <c r="H202" t="s">
        <v>13</v>
      </c>
      <c r="I202" t="s">
        <v>30</v>
      </c>
      <c r="J202" t="s">
        <v>15</v>
      </c>
      <c r="K202" t="e">
        <f>VLOOKUP(J202,#REF!,2,FALSE)</f>
        <v>#REF!</v>
      </c>
      <c r="L202" t="s">
        <v>16</v>
      </c>
      <c r="M202" t="s">
        <v>26</v>
      </c>
    </row>
    <row r="203" spans="1:13" x14ac:dyDescent="0.25">
      <c r="A203" t="s">
        <v>325</v>
      </c>
      <c r="B203" t="s">
        <v>21</v>
      </c>
      <c r="C203" t="e">
        <f>VLOOKUP(B203,#REF!,2,FALSE)</f>
        <v>#REF!</v>
      </c>
      <c r="D203">
        <v>11</v>
      </c>
      <c r="E203" t="s">
        <v>11</v>
      </c>
      <c r="F203" t="s">
        <v>22</v>
      </c>
      <c r="G203">
        <f t="shared" si="3"/>
        <v>2</v>
      </c>
      <c r="H203" t="s">
        <v>13</v>
      </c>
      <c r="I203" t="s">
        <v>19</v>
      </c>
      <c r="J203" t="s">
        <v>24</v>
      </c>
      <c r="K203" t="e">
        <f>VLOOKUP(J203,#REF!,2,FALSE)</f>
        <v>#REF!</v>
      </c>
      <c r="L203" t="s">
        <v>326</v>
      </c>
      <c r="M203" t="s">
        <v>17</v>
      </c>
    </row>
    <row r="204" spans="1:13" x14ac:dyDescent="0.25">
      <c r="A204" t="s">
        <v>327</v>
      </c>
      <c r="B204" t="s">
        <v>21</v>
      </c>
      <c r="C204" t="e">
        <f>VLOOKUP(B204,#REF!,2,FALSE)</f>
        <v>#REF!</v>
      </c>
      <c r="D204">
        <v>14</v>
      </c>
      <c r="E204" t="s">
        <v>11</v>
      </c>
      <c r="F204" t="s">
        <v>12</v>
      </c>
      <c r="G204">
        <f t="shared" si="3"/>
        <v>1</v>
      </c>
      <c r="H204" t="s">
        <v>13</v>
      </c>
      <c r="I204" t="s">
        <v>19</v>
      </c>
      <c r="J204" t="s">
        <v>15</v>
      </c>
      <c r="K204" t="e">
        <f>VLOOKUP(J204,#REF!,2,FALSE)</f>
        <v>#REF!</v>
      </c>
      <c r="L204" t="s">
        <v>328</v>
      </c>
      <c r="M204" t="s">
        <v>17</v>
      </c>
    </row>
    <row r="205" spans="1:13" x14ac:dyDescent="0.25">
      <c r="A205" t="s">
        <v>329</v>
      </c>
      <c r="B205" t="s">
        <v>21</v>
      </c>
      <c r="C205" t="e">
        <f>VLOOKUP(B205,#REF!,2,FALSE)</f>
        <v>#REF!</v>
      </c>
      <c r="D205">
        <v>14</v>
      </c>
      <c r="E205" t="s">
        <v>11</v>
      </c>
      <c r="F205" t="s">
        <v>22</v>
      </c>
      <c r="G205">
        <f t="shared" si="3"/>
        <v>2</v>
      </c>
      <c r="H205" t="s">
        <v>13</v>
      </c>
      <c r="I205" t="s">
        <v>330</v>
      </c>
      <c r="J205" t="s">
        <v>24</v>
      </c>
      <c r="K205" t="e">
        <f>VLOOKUP(J205,#REF!,2,FALSE)</f>
        <v>#REF!</v>
      </c>
      <c r="L205" t="s">
        <v>16</v>
      </c>
      <c r="M205" t="s">
        <v>26</v>
      </c>
    </row>
    <row r="206" spans="1:13" x14ac:dyDescent="0.25">
      <c r="A206" t="s">
        <v>331</v>
      </c>
      <c r="B206" t="s">
        <v>21</v>
      </c>
      <c r="C206" t="e">
        <f>VLOOKUP(B206,#REF!,2,FALSE)</f>
        <v>#REF!</v>
      </c>
      <c r="D206">
        <v>12</v>
      </c>
      <c r="E206" t="s">
        <v>11</v>
      </c>
      <c r="F206" t="s">
        <v>195</v>
      </c>
      <c r="G206">
        <v>3</v>
      </c>
      <c r="H206" t="s">
        <v>13</v>
      </c>
      <c r="I206" t="s">
        <v>14</v>
      </c>
      <c r="J206" t="s">
        <v>24</v>
      </c>
      <c r="K206" t="e">
        <f>VLOOKUP(J206,#REF!,2,FALSE)</f>
        <v>#REF!</v>
      </c>
      <c r="L206" t="s">
        <v>332</v>
      </c>
      <c r="M206" t="s">
        <v>17</v>
      </c>
    </row>
    <row r="207" spans="1:13" x14ac:dyDescent="0.25">
      <c r="A207" t="s">
        <v>333</v>
      </c>
      <c r="B207" t="s">
        <v>21</v>
      </c>
      <c r="C207" t="e">
        <f>VLOOKUP(B207,#REF!,2,FALSE)</f>
        <v>#REF!</v>
      </c>
      <c r="D207">
        <v>12</v>
      </c>
      <c r="E207" t="s">
        <v>11</v>
      </c>
      <c r="F207" t="s">
        <v>12</v>
      </c>
      <c r="G207">
        <f t="shared" si="3"/>
        <v>1</v>
      </c>
      <c r="H207" t="s">
        <v>13</v>
      </c>
      <c r="I207" t="s">
        <v>14</v>
      </c>
      <c r="J207" t="s">
        <v>24</v>
      </c>
      <c r="K207" t="e">
        <f>VLOOKUP(J207,#REF!,2,FALSE)</f>
        <v>#REF!</v>
      </c>
      <c r="L207" t="s">
        <v>334</v>
      </c>
      <c r="M207" t="s">
        <v>26</v>
      </c>
    </row>
    <row r="208" spans="1:13" x14ac:dyDescent="0.25">
      <c r="A208" t="s">
        <v>335</v>
      </c>
      <c r="B208" t="s">
        <v>10</v>
      </c>
      <c r="C208" t="e">
        <f>VLOOKUP(B208,#REF!,2,FALSE)</f>
        <v>#REF!</v>
      </c>
      <c r="D208">
        <v>18</v>
      </c>
      <c r="E208" t="s">
        <v>11</v>
      </c>
      <c r="F208" t="s">
        <v>22</v>
      </c>
      <c r="G208">
        <f t="shared" si="3"/>
        <v>2</v>
      </c>
      <c r="H208" t="s">
        <v>13</v>
      </c>
      <c r="I208" t="s">
        <v>336</v>
      </c>
      <c r="J208" t="s">
        <v>24</v>
      </c>
      <c r="K208" t="e">
        <f>VLOOKUP(J208,#REF!,2,FALSE)</f>
        <v>#REF!</v>
      </c>
      <c r="L208" t="s">
        <v>337</v>
      </c>
      <c r="M208" t="s">
        <v>26</v>
      </c>
    </row>
    <row r="209" spans="1:13" x14ac:dyDescent="0.25">
      <c r="A209" t="s">
        <v>338</v>
      </c>
      <c r="B209" t="s">
        <v>54</v>
      </c>
      <c r="C209" t="e">
        <f>VLOOKUP(B209,#REF!,2,FALSE)</f>
        <v>#REF!</v>
      </c>
      <c r="D209">
        <v>38</v>
      </c>
      <c r="E209" t="s">
        <v>41</v>
      </c>
      <c r="F209" t="s">
        <v>22</v>
      </c>
      <c r="G209">
        <f t="shared" si="3"/>
        <v>2</v>
      </c>
      <c r="H209" t="s">
        <v>13</v>
      </c>
      <c r="I209" t="s">
        <v>14</v>
      </c>
      <c r="J209" t="s">
        <v>47</v>
      </c>
      <c r="K209" t="e">
        <f>VLOOKUP(J209,#REF!,2,FALSE)</f>
        <v>#REF!</v>
      </c>
      <c r="L209" t="s">
        <v>339</v>
      </c>
      <c r="M209" t="s">
        <v>17</v>
      </c>
    </row>
    <row r="210" spans="1:13" x14ac:dyDescent="0.25">
      <c r="A210" t="s">
        <v>340</v>
      </c>
      <c r="B210" t="s">
        <v>10</v>
      </c>
      <c r="C210" t="e">
        <f>VLOOKUP(B210,#REF!,2,FALSE)</f>
        <v>#REF!</v>
      </c>
      <c r="D210">
        <v>16</v>
      </c>
      <c r="E210" t="s">
        <v>11</v>
      </c>
      <c r="F210" t="s">
        <v>22</v>
      </c>
      <c r="G210">
        <f t="shared" si="3"/>
        <v>2</v>
      </c>
      <c r="H210" t="s">
        <v>23</v>
      </c>
      <c r="I210" t="s">
        <v>19</v>
      </c>
      <c r="J210" t="s">
        <v>47</v>
      </c>
      <c r="K210" t="e">
        <f>VLOOKUP(J210,#REF!,2,FALSE)</f>
        <v>#REF!</v>
      </c>
      <c r="L210" t="s">
        <v>67</v>
      </c>
      <c r="M210" t="s">
        <v>26</v>
      </c>
    </row>
    <row r="211" spans="1:13" x14ac:dyDescent="0.25">
      <c r="A211" t="s">
        <v>341</v>
      </c>
      <c r="B211" t="s">
        <v>21</v>
      </c>
      <c r="C211" t="e">
        <f>VLOOKUP(B211,#REF!,2,FALSE)</f>
        <v>#REF!</v>
      </c>
      <c r="D211">
        <v>12</v>
      </c>
      <c r="E211" t="s">
        <v>11</v>
      </c>
      <c r="F211" t="s">
        <v>22</v>
      </c>
      <c r="G211">
        <f t="shared" si="3"/>
        <v>2</v>
      </c>
      <c r="H211" t="s">
        <v>23</v>
      </c>
      <c r="I211" t="s">
        <v>19</v>
      </c>
      <c r="J211" t="s">
        <v>24</v>
      </c>
      <c r="K211" t="e">
        <f>VLOOKUP(J211,#REF!,2,FALSE)</f>
        <v>#REF!</v>
      </c>
      <c r="L211" t="s">
        <v>342</v>
      </c>
      <c r="M211" t="s">
        <v>26</v>
      </c>
    </row>
    <row r="212" spans="1:13" x14ac:dyDescent="0.25">
      <c r="A212" t="s">
        <v>343</v>
      </c>
      <c r="B212" t="s">
        <v>10</v>
      </c>
      <c r="C212" t="e">
        <f>VLOOKUP(B212,#REF!,2,FALSE)</f>
        <v>#REF!</v>
      </c>
      <c r="D212">
        <v>15</v>
      </c>
      <c r="E212" t="s">
        <v>11</v>
      </c>
      <c r="F212" t="s">
        <v>12</v>
      </c>
      <c r="G212">
        <f t="shared" si="3"/>
        <v>1</v>
      </c>
      <c r="H212" t="s">
        <v>13</v>
      </c>
      <c r="I212" t="s">
        <v>19</v>
      </c>
      <c r="J212" t="s">
        <v>47</v>
      </c>
      <c r="K212" t="e">
        <f>VLOOKUP(J212,#REF!,2,FALSE)</f>
        <v>#REF!</v>
      </c>
      <c r="L212" t="s">
        <v>16</v>
      </c>
      <c r="M212" t="s">
        <v>26</v>
      </c>
    </row>
    <row r="213" spans="1:13" x14ac:dyDescent="0.25">
      <c r="A213" t="s">
        <v>344</v>
      </c>
      <c r="B213" t="s">
        <v>54</v>
      </c>
      <c r="C213" t="e">
        <f>VLOOKUP(B213,#REF!,2,FALSE)</f>
        <v>#REF!</v>
      </c>
      <c r="D213">
        <v>26</v>
      </c>
      <c r="E213" t="s">
        <v>41</v>
      </c>
      <c r="F213" t="s">
        <v>22</v>
      </c>
      <c r="G213">
        <f t="shared" si="3"/>
        <v>2</v>
      </c>
      <c r="H213" t="s">
        <v>13</v>
      </c>
      <c r="I213" t="s">
        <v>14</v>
      </c>
      <c r="J213" t="s">
        <v>24</v>
      </c>
      <c r="K213" t="e">
        <f>VLOOKUP(J213,#REF!,2,FALSE)</f>
        <v>#REF!</v>
      </c>
      <c r="L213" t="s">
        <v>345</v>
      </c>
      <c r="M213" t="s">
        <v>26</v>
      </c>
    </row>
    <row r="214" spans="1:13" x14ac:dyDescent="0.25">
      <c r="A214" t="s">
        <v>346</v>
      </c>
      <c r="B214" t="s">
        <v>10</v>
      </c>
      <c r="C214" t="e">
        <f>VLOOKUP(B214,#REF!,2,FALSE)</f>
        <v>#REF!</v>
      </c>
      <c r="D214">
        <v>17</v>
      </c>
      <c r="E214" t="s">
        <v>11</v>
      </c>
      <c r="F214" t="s">
        <v>12</v>
      </c>
      <c r="G214">
        <f t="shared" si="3"/>
        <v>1</v>
      </c>
      <c r="H214" t="s">
        <v>13</v>
      </c>
      <c r="I214" t="s">
        <v>14</v>
      </c>
      <c r="J214" t="s">
        <v>24</v>
      </c>
      <c r="K214" t="e">
        <f>VLOOKUP(J214,#REF!,2,FALSE)</f>
        <v>#REF!</v>
      </c>
      <c r="L214" t="s">
        <v>16</v>
      </c>
      <c r="M214" t="s">
        <v>26</v>
      </c>
    </row>
    <row r="215" spans="1:13" x14ac:dyDescent="0.25">
      <c r="A215" t="s">
        <v>347</v>
      </c>
      <c r="B215" t="s">
        <v>10</v>
      </c>
      <c r="C215" t="e">
        <f>VLOOKUP(B215,#REF!,2,FALSE)</f>
        <v>#REF!</v>
      </c>
      <c r="D215">
        <v>15</v>
      </c>
      <c r="E215" t="s">
        <v>11</v>
      </c>
      <c r="F215" t="s">
        <v>22</v>
      </c>
      <c r="G215">
        <f t="shared" si="3"/>
        <v>2</v>
      </c>
      <c r="H215" t="s">
        <v>23</v>
      </c>
      <c r="I215" t="s">
        <v>348</v>
      </c>
      <c r="J215" t="s">
        <v>43</v>
      </c>
      <c r="K215" t="e">
        <f>VLOOKUP(J215,#REF!,2,FALSE)</f>
        <v>#REF!</v>
      </c>
      <c r="L215" t="s">
        <v>60</v>
      </c>
      <c r="M215" t="s">
        <v>26</v>
      </c>
    </row>
    <row r="216" spans="1:13" x14ac:dyDescent="0.25">
      <c r="A216" t="s">
        <v>349</v>
      </c>
      <c r="B216" t="s">
        <v>10</v>
      </c>
      <c r="C216" t="e">
        <f>VLOOKUP(B216,#REF!,2,FALSE)</f>
        <v>#REF!</v>
      </c>
      <c r="D216">
        <v>18</v>
      </c>
      <c r="E216" t="s">
        <v>11</v>
      </c>
      <c r="F216" t="s">
        <v>22</v>
      </c>
      <c r="G216">
        <f t="shared" si="3"/>
        <v>2</v>
      </c>
      <c r="H216" t="s">
        <v>13</v>
      </c>
      <c r="I216" t="s">
        <v>14</v>
      </c>
      <c r="J216" t="s">
        <v>15</v>
      </c>
      <c r="K216" t="e">
        <f>VLOOKUP(J216,#REF!,2,FALSE)</f>
        <v>#REF!</v>
      </c>
      <c r="L216" t="s">
        <v>350</v>
      </c>
      <c r="M216" t="s">
        <v>26</v>
      </c>
    </row>
    <row r="217" spans="1:13" x14ac:dyDescent="0.25">
      <c r="A217" t="s">
        <v>351</v>
      </c>
      <c r="B217" t="s">
        <v>10</v>
      </c>
      <c r="C217" t="e">
        <f>VLOOKUP(B217,#REF!,2,FALSE)</f>
        <v>#REF!</v>
      </c>
      <c r="D217">
        <v>15</v>
      </c>
      <c r="E217" t="s">
        <v>11</v>
      </c>
      <c r="F217" t="s">
        <v>92</v>
      </c>
      <c r="G217">
        <v>0</v>
      </c>
      <c r="H217" t="s">
        <v>23</v>
      </c>
      <c r="I217" t="s">
        <v>19</v>
      </c>
      <c r="J217" t="s">
        <v>24</v>
      </c>
      <c r="K217" t="e">
        <f>VLOOKUP(J217,#REF!,2,FALSE)</f>
        <v>#REF!</v>
      </c>
      <c r="L217" t="s">
        <v>16</v>
      </c>
      <c r="M217" t="s">
        <v>26</v>
      </c>
    </row>
    <row r="218" spans="1:13" x14ac:dyDescent="0.25">
      <c r="A218" t="s">
        <v>352</v>
      </c>
      <c r="B218" t="s">
        <v>10</v>
      </c>
      <c r="C218" t="e">
        <f>VLOOKUP(B218,#REF!,2,FALSE)</f>
        <v>#REF!</v>
      </c>
      <c r="D218">
        <v>16</v>
      </c>
      <c r="E218" t="s">
        <v>11</v>
      </c>
      <c r="F218" t="s">
        <v>12</v>
      </c>
      <c r="G218">
        <f t="shared" si="3"/>
        <v>1</v>
      </c>
      <c r="H218" t="s">
        <v>13</v>
      </c>
      <c r="I218" t="s">
        <v>14</v>
      </c>
      <c r="J218" t="s">
        <v>43</v>
      </c>
      <c r="K218" t="e">
        <f>VLOOKUP(J218,#REF!,2,FALSE)</f>
        <v>#REF!</v>
      </c>
      <c r="L218" t="s">
        <v>16</v>
      </c>
      <c r="M218" t="s">
        <v>17</v>
      </c>
    </row>
    <row r="219" spans="1:13" x14ac:dyDescent="0.25">
      <c r="A219" t="s">
        <v>353</v>
      </c>
      <c r="B219" t="s">
        <v>10</v>
      </c>
      <c r="C219" t="e">
        <f>VLOOKUP(B219,#REF!,2,FALSE)</f>
        <v>#REF!</v>
      </c>
      <c r="D219">
        <v>16</v>
      </c>
      <c r="E219" t="s">
        <v>11</v>
      </c>
      <c r="F219" t="s">
        <v>22</v>
      </c>
      <c r="G219">
        <f t="shared" si="3"/>
        <v>2</v>
      </c>
      <c r="H219" t="s">
        <v>13</v>
      </c>
      <c r="I219" t="s">
        <v>354</v>
      </c>
      <c r="J219" t="s">
        <v>15</v>
      </c>
      <c r="K219" t="e">
        <f>VLOOKUP(J219,#REF!,2,FALSE)</f>
        <v>#REF!</v>
      </c>
      <c r="L219" t="s">
        <v>354</v>
      </c>
      <c r="M219" t="s">
        <v>26</v>
      </c>
    </row>
    <row r="220" spans="1:13" x14ac:dyDescent="0.25">
      <c r="A220" t="s">
        <v>355</v>
      </c>
      <c r="B220" t="s">
        <v>21</v>
      </c>
      <c r="C220" t="e">
        <f>VLOOKUP(B220,#REF!,2,FALSE)</f>
        <v>#REF!</v>
      </c>
      <c r="D220">
        <v>13</v>
      </c>
      <c r="E220" t="s">
        <v>11</v>
      </c>
      <c r="F220" t="s">
        <v>12</v>
      </c>
      <c r="G220">
        <f t="shared" si="3"/>
        <v>1</v>
      </c>
      <c r="H220" t="s">
        <v>13</v>
      </c>
      <c r="I220" t="s">
        <v>14</v>
      </c>
      <c r="J220" t="s">
        <v>24</v>
      </c>
      <c r="K220" t="e">
        <f>VLOOKUP(J220,#REF!,2,FALSE)</f>
        <v>#REF!</v>
      </c>
      <c r="L220" t="s">
        <v>356</v>
      </c>
      <c r="M220" t="s">
        <v>26</v>
      </c>
    </row>
    <row r="221" spans="1:13" x14ac:dyDescent="0.25">
      <c r="A221" t="s">
        <v>357</v>
      </c>
      <c r="B221" t="s">
        <v>21</v>
      </c>
      <c r="C221" t="e">
        <f>VLOOKUP(B221,#REF!,2,FALSE)</f>
        <v>#REF!</v>
      </c>
      <c r="D221">
        <v>11</v>
      </c>
      <c r="E221" t="s">
        <v>11</v>
      </c>
      <c r="F221" t="s">
        <v>22</v>
      </c>
      <c r="G221">
        <f t="shared" si="3"/>
        <v>2</v>
      </c>
      <c r="H221" t="s">
        <v>13</v>
      </c>
      <c r="I221" t="s">
        <v>271</v>
      </c>
      <c r="J221" t="s">
        <v>24</v>
      </c>
      <c r="K221" t="e">
        <f>VLOOKUP(J221,#REF!,2,FALSE)</f>
        <v>#REF!</v>
      </c>
      <c r="M221" t="s">
        <v>17</v>
      </c>
    </row>
    <row r="222" spans="1:13" x14ac:dyDescent="0.25">
      <c r="A222" t="s">
        <v>358</v>
      </c>
      <c r="B222" t="s">
        <v>10</v>
      </c>
      <c r="C222" t="e">
        <f>VLOOKUP(B222,#REF!,2,FALSE)</f>
        <v>#REF!</v>
      </c>
      <c r="D222">
        <v>16</v>
      </c>
      <c r="E222" t="s">
        <v>11</v>
      </c>
      <c r="F222" t="s">
        <v>12</v>
      </c>
      <c r="G222">
        <f t="shared" si="3"/>
        <v>1</v>
      </c>
      <c r="H222" t="s">
        <v>13</v>
      </c>
      <c r="I222" t="s">
        <v>14</v>
      </c>
      <c r="J222" t="s">
        <v>15</v>
      </c>
      <c r="K222" t="e">
        <f>VLOOKUP(J222,#REF!,2,FALSE)</f>
        <v>#REF!</v>
      </c>
      <c r="L222" t="s">
        <v>25</v>
      </c>
      <c r="M222" t="s">
        <v>26</v>
      </c>
    </row>
    <row r="223" spans="1:13" x14ac:dyDescent="0.25">
      <c r="A223" t="s">
        <v>359</v>
      </c>
      <c r="B223" t="s">
        <v>200</v>
      </c>
      <c r="C223" t="e">
        <f>VLOOKUP(B223,#REF!,2,FALSE)</f>
        <v>#REF!</v>
      </c>
      <c r="D223">
        <v>23</v>
      </c>
      <c r="E223" t="s">
        <v>11</v>
      </c>
      <c r="F223" t="s">
        <v>22</v>
      </c>
      <c r="G223">
        <f t="shared" si="3"/>
        <v>2</v>
      </c>
      <c r="H223" t="s">
        <v>13</v>
      </c>
      <c r="I223" t="s">
        <v>360</v>
      </c>
      <c r="J223" t="s">
        <v>15</v>
      </c>
      <c r="K223" t="e">
        <f>VLOOKUP(J223,#REF!,2,FALSE)</f>
        <v>#REF!</v>
      </c>
      <c r="L223" t="s">
        <v>361</v>
      </c>
      <c r="M223" t="s">
        <v>17</v>
      </c>
    </row>
    <row r="224" spans="1:13" x14ac:dyDescent="0.25">
      <c r="A224" t="s">
        <v>362</v>
      </c>
      <c r="B224" t="s">
        <v>21</v>
      </c>
      <c r="C224" t="e">
        <f>VLOOKUP(B224,#REF!,2,FALSE)</f>
        <v>#REF!</v>
      </c>
      <c r="D224">
        <v>14</v>
      </c>
      <c r="E224" t="s">
        <v>11</v>
      </c>
      <c r="F224" t="s">
        <v>12</v>
      </c>
      <c r="G224">
        <f t="shared" si="3"/>
        <v>1</v>
      </c>
      <c r="H224" t="s">
        <v>13</v>
      </c>
      <c r="I224" t="s">
        <v>19</v>
      </c>
      <c r="J224" t="s">
        <v>43</v>
      </c>
      <c r="K224" t="e">
        <f>VLOOKUP(J224,#REF!,2,FALSE)</f>
        <v>#REF!</v>
      </c>
      <c r="M224" t="s">
        <v>26</v>
      </c>
    </row>
    <row r="225" spans="1:13" x14ac:dyDescent="0.25">
      <c r="A225" t="s">
        <v>363</v>
      </c>
      <c r="B225" t="s">
        <v>21</v>
      </c>
      <c r="C225" t="e">
        <f>VLOOKUP(B225,#REF!,2,FALSE)</f>
        <v>#REF!</v>
      </c>
      <c r="D225">
        <v>12</v>
      </c>
      <c r="E225" t="s">
        <v>11</v>
      </c>
      <c r="F225" t="s">
        <v>22</v>
      </c>
      <c r="G225">
        <f t="shared" si="3"/>
        <v>2</v>
      </c>
      <c r="H225" t="s">
        <v>13</v>
      </c>
      <c r="I225" t="s">
        <v>19</v>
      </c>
      <c r="J225" t="s">
        <v>24</v>
      </c>
      <c r="K225" t="e">
        <f>VLOOKUP(J225,#REF!,2,FALSE)</f>
        <v>#REF!</v>
      </c>
      <c r="L225" t="s">
        <v>16</v>
      </c>
      <c r="M225" t="s">
        <v>26</v>
      </c>
    </row>
    <row r="226" spans="1:13" x14ac:dyDescent="0.25">
      <c r="A226" t="s">
        <v>364</v>
      </c>
      <c r="B226" t="s">
        <v>21</v>
      </c>
      <c r="C226" t="e">
        <f>VLOOKUP(B226,#REF!,2,FALSE)</f>
        <v>#REF!</v>
      </c>
      <c r="D226">
        <v>11</v>
      </c>
      <c r="E226" t="s">
        <v>11</v>
      </c>
      <c r="F226" t="s">
        <v>22</v>
      </c>
      <c r="G226">
        <f t="shared" si="3"/>
        <v>2</v>
      </c>
      <c r="I226" t="s">
        <v>365</v>
      </c>
      <c r="J226" t="s">
        <v>24</v>
      </c>
      <c r="K226" t="e">
        <f>VLOOKUP(J226,#REF!,2,FALSE)</f>
        <v>#REF!</v>
      </c>
      <c r="L226" t="s">
        <v>16</v>
      </c>
      <c r="M226" t="s">
        <v>26</v>
      </c>
    </row>
    <row r="227" spans="1:13" x14ac:dyDescent="0.25">
      <c r="A227" t="s">
        <v>366</v>
      </c>
      <c r="B227" t="s">
        <v>21</v>
      </c>
      <c r="C227" t="e">
        <f>VLOOKUP(B227,#REF!,2,FALSE)</f>
        <v>#REF!</v>
      </c>
      <c r="D227">
        <v>12</v>
      </c>
      <c r="E227" t="s">
        <v>11</v>
      </c>
      <c r="F227" t="s">
        <v>22</v>
      </c>
      <c r="G227">
        <f t="shared" si="3"/>
        <v>2</v>
      </c>
      <c r="H227" t="s">
        <v>13</v>
      </c>
      <c r="I227" t="s">
        <v>14</v>
      </c>
      <c r="J227" t="s">
        <v>15</v>
      </c>
      <c r="K227" t="e">
        <f>VLOOKUP(J227,#REF!,2,FALSE)</f>
        <v>#REF!</v>
      </c>
      <c r="L227" t="s">
        <v>67</v>
      </c>
      <c r="M227" t="s">
        <v>26</v>
      </c>
    </row>
    <row r="228" spans="1:13" x14ac:dyDescent="0.25">
      <c r="A228" t="s">
        <v>367</v>
      </c>
      <c r="B228" t="s">
        <v>10</v>
      </c>
      <c r="C228" t="e">
        <f>VLOOKUP(B228,#REF!,2,FALSE)</f>
        <v>#REF!</v>
      </c>
      <c r="D228">
        <v>18</v>
      </c>
      <c r="E228" t="s">
        <v>11</v>
      </c>
      <c r="F228" t="s">
        <v>22</v>
      </c>
      <c r="G228">
        <f t="shared" si="3"/>
        <v>2</v>
      </c>
      <c r="H228" t="s">
        <v>23</v>
      </c>
      <c r="J228" t="s">
        <v>15</v>
      </c>
      <c r="K228" t="e">
        <f>VLOOKUP(J228,#REF!,2,FALSE)</f>
        <v>#REF!</v>
      </c>
      <c r="L228" t="s">
        <v>16</v>
      </c>
      <c r="M228" t="s">
        <v>26</v>
      </c>
    </row>
    <row r="229" spans="1:13" x14ac:dyDescent="0.25">
      <c r="A229" t="s">
        <v>368</v>
      </c>
      <c r="B229" t="s">
        <v>21</v>
      </c>
      <c r="C229" t="e">
        <f>VLOOKUP(B229,#REF!,2,FALSE)</f>
        <v>#REF!</v>
      </c>
      <c r="D229">
        <v>11</v>
      </c>
      <c r="E229" t="s">
        <v>11</v>
      </c>
      <c r="F229" t="s">
        <v>22</v>
      </c>
      <c r="G229">
        <f t="shared" si="3"/>
        <v>2</v>
      </c>
      <c r="H229" t="s">
        <v>23</v>
      </c>
      <c r="I229" t="s">
        <v>19</v>
      </c>
      <c r="J229" t="s">
        <v>15</v>
      </c>
      <c r="K229" t="e">
        <f>VLOOKUP(J229,#REF!,2,FALSE)</f>
        <v>#REF!</v>
      </c>
      <c r="L229" t="s">
        <v>16</v>
      </c>
      <c r="M229" t="s">
        <v>17</v>
      </c>
    </row>
    <row r="230" spans="1:13" x14ac:dyDescent="0.25">
      <c r="A230" t="s">
        <v>369</v>
      </c>
      <c r="B230" t="s">
        <v>21</v>
      </c>
      <c r="C230" t="e">
        <f>VLOOKUP(B230,#REF!,2,FALSE)</f>
        <v>#REF!</v>
      </c>
      <c r="D230">
        <v>12</v>
      </c>
      <c r="E230" t="s">
        <v>11</v>
      </c>
      <c r="F230" t="s">
        <v>22</v>
      </c>
      <c r="G230">
        <f t="shared" si="3"/>
        <v>2</v>
      </c>
      <c r="H230" t="s">
        <v>13</v>
      </c>
      <c r="I230" t="s">
        <v>14</v>
      </c>
      <c r="J230" t="s">
        <v>15</v>
      </c>
      <c r="K230" t="e">
        <f>VLOOKUP(J230,#REF!,2,FALSE)</f>
        <v>#REF!</v>
      </c>
      <c r="L230" t="s">
        <v>16</v>
      </c>
      <c r="M230" t="s">
        <v>26</v>
      </c>
    </row>
    <row r="231" spans="1:13" x14ac:dyDescent="0.25">
      <c r="A231" t="s">
        <v>370</v>
      </c>
      <c r="B231" t="s">
        <v>10</v>
      </c>
      <c r="C231" t="e">
        <f>VLOOKUP(B231,#REF!,2,FALSE)</f>
        <v>#REF!</v>
      </c>
      <c r="D231">
        <v>17</v>
      </c>
      <c r="E231" t="s">
        <v>11</v>
      </c>
      <c r="F231" t="s">
        <v>22</v>
      </c>
      <c r="G231">
        <f t="shared" si="3"/>
        <v>2</v>
      </c>
      <c r="H231" t="s">
        <v>23</v>
      </c>
      <c r="J231" t="s">
        <v>15</v>
      </c>
      <c r="K231" t="e">
        <f>VLOOKUP(J231,#REF!,2,FALSE)</f>
        <v>#REF!</v>
      </c>
      <c r="L231" t="s">
        <v>16</v>
      </c>
      <c r="M231" t="s">
        <v>26</v>
      </c>
    </row>
    <row r="232" spans="1:13" x14ac:dyDescent="0.25">
      <c r="A232" t="s">
        <v>371</v>
      </c>
      <c r="B232" t="s">
        <v>21</v>
      </c>
      <c r="C232" t="e">
        <f>VLOOKUP(B232,#REF!,2,FALSE)</f>
        <v>#REF!</v>
      </c>
      <c r="D232">
        <v>14</v>
      </c>
      <c r="E232" t="s">
        <v>11</v>
      </c>
      <c r="F232" t="s">
        <v>22</v>
      </c>
      <c r="G232">
        <f t="shared" si="3"/>
        <v>2</v>
      </c>
      <c r="H232" t="s">
        <v>13</v>
      </c>
      <c r="I232" t="s">
        <v>14</v>
      </c>
      <c r="J232" t="s">
        <v>15</v>
      </c>
      <c r="K232" t="e">
        <f>VLOOKUP(J232,#REF!,2,FALSE)</f>
        <v>#REF!</v>
      </c>
      <c r="L232" t="s">
        <v>16</v>
      </c>
      <c r="M232" t="s">
        <v>26</v>
      </c>
    </row>
    <row r="233" spans="1:13" x14ac:dyDescent="0.25">
      <c r="A233" t="s">
        <v>372</v>
      </c>
      <c r="B233" t="s">
        <v>21</v>
      </c>
      <c r="C233" t="e">
        <f>VLOOKUP(B233,#REF!,2,FALSE)</f>
        <v>#REF!</v>
      </c>
      <c r="D233">
        <v>14</v>
      </c>
      <c r="E233" t="s">
        <v>11</v>
      </c>
      <c r="F233" t="s">
        <v>22</v>
      </c>
      <c r="G233">
        <f t="shared" si="3"/>
        <v>2</v>
      </c>
      <c r="H233" t="s">
        <v>13</v>
      </c>
      <c r="I233" t="s">
        <v>14</v>
      </c>
      <c r="J233" t="s">
        <v>47</v>
      </c>
      <c r="K233" t="e">
        <f>VLOOKUP(J233,#REF!,2,FALSE)</f>
        <v>#REF!</v>
      </c>
      <c r="L233" t="s">
        <v>16</v>
      </c>
      <c r="M233" t="s">
        <v>17</v>
      </c>
    </row>
    <row r="234" spans="1:13" x14ac:dyDescent="0.25">
      <c r="A234" t="s">
        <v>373</v>
      </c>
      <c r="B234" t="s">
        <v>21</v>
      </c>
      <c r="C234" t="e">
        <f>VLOOKUP(B234,#REF!,2,FALSE)</f>
        <v>#REF!</v>
      </c>
      <c r="D234">
        <v>14</v>
      </c>
      <c r="E234" t="s">
        <v>11</v>
      </c>
      <c r="F234" t="s">
        <v>22</v>
      </c>
      <c r="G234">
        <f t="shared" si="3"/>
        <v>2</v>
      </c>
      <c r="H234" t="s">
        <v>13</v>
      </c>
      <c r="I234" t="s">
        <v>14</v>
      </c>
      <c r="J234" t="s">
        <v>24</v>
      </c>
      <c r="K234" t="e">
        <f>VLOOKUP(J234,#REF!,2,FALSE)</f>
        <v>#REF!</v>
      </c>
      <c r="L234" t="s">
        <v>67</v>
      </c>
      <c r="M234" t="s">
        <v>17</v>
      </c>
    </row>
    <row r="235" spans="1:13" x14ac:dyDescent="0.25">
      <c r="A235" t="s">
        <v>374</v>
      </c>
      <c r="B235" t="s">
        <v>21</v>
      </c>
      <c r="C235" t="e">
        <f>VLOOKUP(B235,#REF!,2,FALSE)</f>
        <v>#REF!</v>
      </c>
      <c r="D235">
        <v>11</v>
      </c>
      <c r="E235" t="s">
        <v>11</v>
      </c>
      <c r="F235" t="s">
        <v>22</v>
      </c>
      <c r="G235">
        <f t="shared" si="3"/>
        <v>2</v>
      </c>
      <c r="H235" t="s">
        <v>13</v>
      </c>
      <c r="I235" t="s">
        <v>375</v>
      </c>
      <c r="J235" t="s">
        <v>43</v>
      </c>
      <c r="K235" t="e">
        <f>VLOOKUP(J235,#REF!,2,FALSE)</f>
        <v>#REF!</v>
      </c>
      <c r="L235" t="s">
        <v>16</v>
      </c>
      <c r="M235" t="s">
        <v>26</v>
      </c>
    </row>
    <row r="236" spans="1:13" x14ac:dyDescent="0.25">
      <c r="A236" t="s">
        <v>376</v>
      </c>
      <c r="B236" t="s">
        <v>21</v>
      </c>
      <c r="C236" t="e">
        <f>VLOOKUP(B236,#REF!,2,FALSE)</f>
        <v>#REF!</v>
      </c>
      <c r="D236">
        <v>14</v>
      </c>
      <c r="E236" t="s">
        <v>11</v>
      </c>
      <c r="F236" t="s">
        <v>12</v>
      </c>
      <c r="G236">
        <f t="shared" si="3"/>
        <v>1</v>
      </c>
      <c r="H236" t="s">
        <v>13</v>
      </c>
      <c r="I236" t="s">
        <v>19</v>
      </c>
      <c r="J236" t="s">
        <v>24</v>
      </c>
      <c r="K236" t="e">
        <f>VLOOKUP(J236,#REF!,2,FALSE)</f>
        <v>#REF!</v>
      </c>
      <c r="L236" t="s">
        <v>377</v>
      </c>
      <c r="M236" t="s">
        <v>17</v>
      </c>
    </row>
    <row r="237" spans="1:13" x14ac:dyDescent="0.25">
      <c r="A237" t="s">
        <v>378</v>
      </c>
      <c r="B237" t="s">
        <v>10</v>
      </c>
      <c r="C237" t="e">
        <f>VLOOKUP(B237,#REF!,2,FALSE)</f>
        <v>#REF!</v>
      </c>
      <c r="D237">
        <v>17</v>
      </c>
      <c r="E237" t="s">
        <v>11</v>
      </c>
      <c r="F237" t="s">
        <v>22</v>
      </c>
      <c r="G237">
        <f t="shared" si="3"/>
        <v>2</v>
      </c>
      <c r="H237" t="s">
        <v>13</v>
      </c>
      <c r="I237" t="s">
        <v>30</v>
      </c>
      <c r="J237" t="s">
        <v>15</v>
      </c>
      <c r="K237" t="e">
        <f>VLOOKUP(J237,#REF!,2,FALSE)</f>
        <v>#REF!</v>
      </c>
      <c r="L237" t="s">
        <v>67</v>
      </c>
      <c r="M237" t="s">
        <v>26</v>
      </c>
    </row>
    <row r="238" spans="1:13" x14ac:dyDescent="0.25">
      <c r="A238" t="s">
        <v>379</v>
      </c>
      <c r="B238" t="s">
        <v>10</v>
      </c>
      <c r="C238" t="e">
        <f>VLOOKUP(B238,#REF!,2,FALSE)</f>
        <v>#REF!</v>
      </c>
      <c r="D238">
        <v>15</v>
      </c>
      <c r="E238" t="s">
        <v>11</v>
      </c>
      <c r="F238" t="s">
        <v>12</v>
      </c>
      <c r="G238">
        <f t="shared" si="3"/>
        <v>1</v>
      </c>
      <c r="H238" t="s">
        <v>13</v>
      </c>
      <c r="I238" t="s">
        <v>19</v>
      </c>
      <c r="J238" t="s">
        <v>24</v>
      </c>
      <c r="K238" t="e">
        <f>VLOOKUP(J238,#REF!,2,FALSE)</f>
        <v>#REF!</v>
      </c>
      <c r="L238" t="s">
        <v>25</v>
      </c>
      <c r="M238" t="s">
        <v>26</v>
      </c>
    </row>
    <row r="239" spans="1:13" x14ac:dyDescent="0.25">
      <c r="A239" t="s">
        <v>380</v>
      </c>
      <c r="B239" t="s">
        <v>21</v>
      </c>
      <c r="C239" t="e">
        <f>VLOOKUP(B239,#REF!,2,FALSE)</f>
        <v>#REF!</v>
      </c>
      <c r="D239">
        <v>12</v>
      </c>
      <c r="E239" t="s">
        <v>11</v>
      </c>
      <c r="F239" t="s">
        <v>22</v>
      </c>
      <c r="G239">
        <f t="shared" si="3"/>
        <v>2</v>
      </c>
      <c r="H239" t="s">
        <v>13</v>
      </c>
      <c r="I239" t="s">
        <v>381</v>
      </c>
      <c r="J239" t="s">
        <v>24</v>
      </c>
      <c r="K239" t="e">
        <f>VLOOKUP(J239,#REF!,2,FALSE)</f>
        <v>#REF!</v>
      </c>
      <c r="L239" t="s">
        <v>19</v>
      </c>
      <c r="M239" t="s">
        <v>26</v>
      </c>
    </row>
    <row r="240" spans="1:13" x14ac:dyDescent="0.25">
      <c r="A240" t="s">
        <v>382</v>
      </c>
      <c r="B240" t="s">
        <v>21</v>
      </c>
      <c r="C240" t="e">
        <f>VLOOKUP(B240,#REF!,2,FALSE)</f>
        <v>#REF!</v>
      </c>
      <c r="D240">
        <v>14</v>
      </c>
      <c r="E240" t="s">
        <v>11</v>
      </c>
      <c r="F240" t="s">
        <v>22</v>
      </c>
      <c r="G240">
        <f t="shared" si="3"/>
        <v>2</v>
      </c>
      <c r="H240" t="s">
        <v>13</v>
      </c>
      <c r="I240" t="s">
        <v>19</v>
      </c>
      <c r="J240" t="s">
        <v>24</v>
      </c>
      <c r="K240" t="e">
        <f>VLOOKUP(J240,#REF!,2,FALSE)</f>
        <v>#REF!</v>
      </c>
      <c r="L240" t="s">
        <v>16</v>
      </c>
      <c r="M240" t="s">
        <v>26</v>
      </c>
    </row>
    <row r="241" spans="1:13" x14ac:dyDescent="0.25">
      <c r="A241" t="s">
        <v>383</v>
      </c>
      <c r="B241" t="s">
        <v>21</v>
      </c>
      <c r="C241" t="e">
        <f>VLOOKUP(B241,#REF!,2,FALSE)</f>
        <v>#REF!</v>
      </c>
      <c r="D241">
        <v>12</v>
      </c>
      <c r="E241" t="s">
        <v>11</v>
      </c>
      <c r="F241" t="s">
        <v>22</v>
      </c>
      <c r="G241">
        <f t="shared" si="3"/>
        <v>2</v>
      </c>
      <c r="H241" t="s">
        <v>23</v>
      </c>
      <c r="I241" t="s">
        <v>19</v>
      </c>
      <c r="J241" t="s">
        <v>24</v>
      </c>
      <c r="K241" t="e">
        <f>VLOOKUP(J241,#REF!,2,FALSE)</f>
        <v>#REF!</v>
      </c>
      <c r="L241" t="s">
        <v>67</v>
      </c>
      <c r="M241" t="s">
        <v>17</v>
      </c>
    </row>
    <row r="242" spans="1:13" x14ac:dyDescent="0.25">
      <c r="A242" t="s">
        <v>384</v>
      </c>
      <c r="B242" t="s">
        <v>21</v>
      </c>
      <c r="C242" t="e">
        <f>VLOOKUP(B242,#REF!,2,FALSE)</f>
        <v>#REF!</v>
      </c>
      <c r="D242">
        <v>11</v>
      </c>
      <c r="E242" t="s">
        <v>11</v>
      </c>
      <c r="F242" t="s">
        <v>12</v>
      </c>
      <c r="G242">
        <f t="shared" si="3"/>
        <v>1</v>
      </c>
      <c r="H242" t="s">
        <v>13</v>
      </c>
      <c r="I242" t="s">
        <v>30</v>
      </c>
      <c r="J242" t="s">
        <v>24</v>
      </c>
      <c r="K242" t="e">
        <f>VLOOKUP(J242,#REF!,2,FALSE)</f>
        <v>#REF!</v>
      </c>
      <c r="L242" t="s">
        <v>16</v>
      </c>
      <c r="M242" t="s">
        <v>17</v>
      </c>
    </row>
    <row r="243" spans="1:13" x14ac:dyDescent="0.25">
      <c r="A243" t="s">
        <v>385</v>
      </c>
      <c r="B243" t="s">
        <v>21</v>
      </c>
      <c r="C243" t="e">
        <f>VLOOKUP(B243,#REF!,2,FALSE)</f>
        <v>#REF!</v>
      </c>
      <c r="D243">
        <v>13</v>
      </c>
      <c r="E243" t="s">
        <v>11</v>
      </c>
      <c r="F243" t="s">
        <v>22</v>
      </c>
      <c r="G243">
        <f t="shared" si="3"/>
        <v>2</v>
      </c>
      <c r="H243" t="s">
        <v>13</v>
      </c>
      <c r="I243" t="s">
        <v>19</v>
      </c>
      <c r="J243" t="s">
        <v>24</v>
      </c>
      <c r="K243" t="e">
        <f>VLOOKUP(J243,#REF!,2,FALSE)</f>
        <v>#REF!</v>
      </c>
      <c r="L243" t="s">
        <v>386</v>
      </c>
      <c r="M243" t="s">
        <v>26</v>
      </c>
    </row>
    <row r="244" spans="1:13" x14ac:dyDescent="0.25">
      <c r="A244" t="s">
        <v>387</v>
      </c>
      <c r="B244" t="s">
        <v>10</v>
      </c>
      <c r="C244" t="e">
        <f>VLOOKUP(B244,#REF!,2,FALSE)</f>
        <v>#REF!</v>
      </c>
      <c r="D244">
        <v>16</v>
      </c>
      <c r="E244" t="s">
        <v>11</v>
      </c>
      <c r="F244" t="s">
        <v>12</v>
      </c>
      <c r="G244">
        <f t="shared" si="3"/>
        <v>1</v>
      </c>
      <c r="H244" t="s">
        <v>13</v>
      </c>
      <c r="I244" t="s">
        <v>388</v>
      </c>
      <c r="J244" t="s">
        <v>24</v>
      </c>
      <c r="K244" t="e">
        <f>VLOOKUP(J244,#REF!,2,FALSE)</f>
        <v>#REF!</v>
      </c>
      <c r="L244" t="s">
        <v>389</v>
      </c>
      <c r="M244" t="s">
        <v>17</v>
      </c>
    </row>
    <row r="245" spans="1:13" x14ac:dyDescent="0.25">
      <c r="A245" t="s">
        <v>390</v>
      </c>
      <c r="B245" t="s">
        <v>21</v>
      </c>
      <c r="C245" t="e">
        <f>VLOOKUP(B245,#REF!,2,FALSE)</f>
        <v>#REF!</v>
      </c>
      <c r="D245">
        <v>12</v>
      </c>
      <c r="E245" t="s">
        <v>11</v>
      </c>
      <c r="F245" t="s">
        <v>22</v>
      </c>
      <c r="G245">
        <f t="shared" si="3"/>
        <v>2</v>
      </c>
      <c r="H245" t="s">
        <v>13</v>
      </c>
      <c r="I245" t="s">
        <v>30</v>
      </c>
      <c r="J245" t="s">
        <v>15</v>
      </c>
      <c r="K245" t="e">
        <f>VLOOKUP(J245,#REF!,2,FALSE)</f>
        <v>#REF!</v>
      </c>
      <c r="L245" t="s">
        <v>16</v>
      </c>
      <c r="M245" t="s">
        <v>17</v>
      </c>
    </row>
    <row r="246" spans="1:13" x14ac:dyDescent="0.25">
      <c r="A246" t="s">
        <v>391</v>
      </c>
      <c r="B246" t="s">
        <v>21</v>
      </c>
      <c r="C246" t="e">
        <f>VLOOKUP(B246,#REF!,2,FALSE)</f>
        <v>#REF!</v>
      </c>
      <c r="D246">
        <v>14</v>
      </c>
      <c r="E246" t="s">
        <v>11</v>
      </c>
      <c r="F246" t="s">
        <v>22</v>
      </c>
      <c r="G246">
        <f t="shared" si="3"/>
        <v>2</v>
      </c>
      <c r="H246" t="s">
        <v>13</v>
      </c>
      <c r="I246" t="s">
        <v>19</v>
      </c>
      <c r="J246" t="s">
        <v>15</v>
      </c>
      <c r="K246" t="e">
        <f>VLOOKUP(J246,#REF!,2,FALSE)</f>
        <v>#REF!</v>
      </c>
      <c r="L246" t="s">
        <v>392</v>
      </c>
      <c r="M246" t="s">
        <v>26</v>
      </c>
    </row>
    <row r="247" spans="1:13" x14ac:dyDescent="0.25">
      <c r="A247" t="s">
        <v>393</v>
      </c>
      <c r="B247" t="s">
        <v>21</v>
      </c>
      <c r="C247" t="e">
        <f>VLOOKUP(B247,#REF!,2,FALSE)</f>
        <v>#REF!</v>
      </c>
      <c r="D247">
        <v>13</v>
      </c>
      <c r="E247" t="s">
        <v>11</v>
      </c>
      <c r="F247" t="s">
        <v>22</v>
      </c>
      <c r="G247">
        <f t="shared" si="3"/>
        <v>2</v>
      </c>
      <c r="H247" t="s">
        <v>23</v>
      </c>
      <c r="I247" t="s">
        <v>19</v>
      </c>
      <c r="J247" t="s">
        <v>24</v>
      </c>
      <c r="K247" t="e">
        <f>VLOOKUP(J247,#REF!,2,FALSE)</f>
        <v>#REF!</v>
      </c>
      <c r="L247" t="s">
        <v>16</v>
      </c>
      <c r="M247" t="s">
        <v>26</v>
      </c>
    </row>
    <row r="248" spans="1:13" x14ac:dyDescent="0.25">
      <c r="A248" t="s">
        <v>394</v>
      </c>
      <c r="B248" t="s">
        <v>21</v>
      </c>
      <c r="C248" t="e">
        <f>VLOOKUP(B248,#REF!,2,FALSE)</f>
        <v>#REF!</v>
      </c>
      <c r="D248">
        <v>11</v>
      </c>
      <c r="E248" t="s">
        <v>11</v>
      </c>
      <c r="F248" t="s">
        <v>22</v>
      </c>
      <c r="G248">
        <f t="shared" si="3"/>
        <v>2</v>
      </c>
      <c r="H248" t="s">
        <v>13</v>
      </c>
      <c r="I248" t="s">
        <v>14</v>
      </c>
      <c r="J248" t="s">
        <v>47</v>
      </c>
      <c r="K248" t="e">
        <f>VLOOKUP(J248,#REF!,2,FALSE)</f>
        <v>#REF!</v>
      </c>
      <c r="L248" t="s">
        <v>67</v>
      </c>
      <c r="M248" t="s">
        <v>17</v>
      </c>
    </row>
    <row r="249" spans="1:13" x14ac:dyDescent="0.25">
      <c r="A249" t="s">
        <v>395</v>
      </c>
      <c r="B249" t="s">
        <v>21</v>
      </c>
      <c r="C249" t="e">
        <f>VLOOKUP(B249,#REF!,2,FALSE)</f>
        <v>#REF!</v>
      </c>
      <c r="D249">
        <v>12</v>
      </c>
      <c r="E249" t="s">
        <v>11</v>
      </c>
      <c r="F249" t="s">
        <v>22</v>
      </c>
      <c r="G249">
        <f t="shared" si="3"/>
        <v>2</v>
      </c>
      <c r="H249" t="s">
        <v>13</v>
      </c>
      <c r="I249" t="s">
        <v>14</v>
      </c>
      <c r="J249" t="s">
        <v>47</v>
      </c>
      <c r="K249" t="e">
        <f>VLOOKUP(J249,#REF!,2,FALSE)</f>
        <v>#REF!</v>
      </c>
      <c r="L249" t="s">
        <v>67</v>
      </c>
      <c r="M249" t="s">
        <v>17</v>
      </c>
    </row>
    <row r="250" spans="1:13" x14ac:dyDescent="0.25">
      <c r="A250" t="s">
        <v>396</v>
      </c>
      <c r="B250" t="s">
        <v>10</v>
      </c>
      <c r="C250" t="e">
        <f>VLOOKUP(B250,#REF!,2,FALSE)</f>
        <v>#REF!</v>
      </c>
      <c r="D250">
        <v>16</v>
      </c>
      <c r="E250" t="s">
        <v>11</v>
      </c>
      <c r="F250" t="s">
        <v>12</v>
      </c>
      <c r="G250">
        <f t="shared" si="3"/>
        <v>1</v>
      </c>
      <c r="H250" t="s">
        <v>13</v>
      </c>
      <c r="I250" t="s">
        <v>14</v>
      </c>
      <c r="J250" t="s">
        <v>24</v>
      </c>
      <c r="K250" t="e">
        <f>VLOOKUP(J250,#REF!,2,FALSE)</f>
        <v>#REF!</v>
      </c>
      <c r="L250" t="s">
        <v>16</v>
      </c>
      <c r="M250" t="s">
        <v>26</v>
      </c>
    </row>
    <row r="251" spans="1:13" x14ac:dyDescent="0.25">
      <c r="A251" t="s">
        <v>397</v>
      </c>
      <c r="B251" t="s">
        <v>21</v>
      </c>
      <c r="C251" t="e">
        <f>VLOOKUP(B251,#REF!,2,FALSE)</f>
        <v>#REF!</v>
      </c>
      <c r="D251">
        <v>14</v>
      </c>
      <c r="E251" t="s">
        <v>11</v>
      </c>
      <c r="F251" t="s">
        <v>12</v>
      </c>
      <c r="G251">
        <f t="shared" si="3"/>
        <v>1</v>
      </c>
      <c r="H251" t="s">
        <v>13</v>
      </c>
      <c r="I251" t="s">
        <v>14</v>
      </c>
      <c r="J251" t="s">
        <v>24</v>
      </c>
      <c r="K251" t="e">
        <f>VLOOKUP(J251,#REF!,2,FALSE)</f>
        <v>#REF!</v>
      </c>
      <c r="L251" t="s">
        <v>294</v>
      </c>
      <c r="M251" t="s">
        <v>17</v>
      </c>
    </row>
    <row r="252" spans="1:13" x14ac:dyDescent="0.25">
      <c r="A252" t="s">
        <v>398</v>
      </c>
      <c r="B252" t="s">
        <v>21</v>
      </c>
      <c r="C252" t="e">
        <f>VLOOKUP(B252,#REF!,2,FALSE)</f>
        <v>#REF!</v>
      </c>
      <c r="D252">
        <v>11</v>
      </c>
      <c r="E252" t="s">
        <v>11</v>
      </c>
      <c r="F252" t="s">
        <v>12</v>
      </c>
      <c r="G252">
        <f t="shared" si="3"/>
        <v>1</v>
      </c>
      <c r="H252" t="s">
        <v>13</v>
      </c>
      <c r="I252" t="s">
        <v>57</v>
      </c>
      <c r="J252" t="s">
        <v>24</v>
      </c>
      <c r="K252" t="e">
        <f>VLOOKUP(J252,#REF!,2,FALSE)</f>
        <v>#REF!</v>
      </c>
      <c r="L252" t="s">
        <v>16</v>
      </c>
      <c r="M252" t="s">
        <v>17</v>
      </c>
    </row>
    <row r="253" spans="1:13" x14ac:dyDescent="0.25">
      <c r="A253" t="s">
        <v>399</v>
      </c>
      <c r="B253" t="s">
        <v>200</v>
      </c>
      <c r="C253" t="e">
        <f>VLOOKUP(B253,#REF!,2,FALSE)</f>
        <v>#REF!</v>
      </c>
      <c r="D253">
        <v>19</v>
      </c>
      <c r="E253" t="s">
        <v>11</v>
      </c>
      <c r="F253" t="s">
        <v>22</v>
      </c>
      <c r="G253">
        <f t="shared" si="3"/>
        <v>2</v>
      </c>
      <c r="H253" t="s">
        <v>23</v>
      </c>
      <c r="I253" t="s">
        <v>30</v>
      </c>
      <c r="J253" t="s">
        <v>24</v>
      </c>
      <c r="K253" t="e">
        <f>VLOOKUP(J253,#REF!,2,FALSE)</f>
        <v>#REF!</v>
      </c>
      <c r="L253" t="s">
        <v>400</v>
      </c>
      <c r="M253" t="s">
        <v>26</v>
      </c>
    </row>
    <row r="254" spans="1:13" x14ac:dyDescent="0.25">
      <c r="A254" t="s">
        <v>401</v>
      </c>
      <c r="B254" t="s">
        <v>54</v>
      </c>
      <c r="C254" t="e">
        <f>VLOOKUP(B254,#REF!,2,FALSE)</f>
        <v>#REF!</v>
      </c>
      <c r="D254">
        <v>31</v>
      </c>
      <c r="E254" t="s">
        <v>41</v>
      </c>
      <c r="F254" t="s">
        <v>22</v>
      </c>
      <c r="G254">
        <f t="shared" si="3"/>
        <v>2</v>
      </c>
      <c r="H254" t="s">
        <v>13</v>
      </c>
      <c r="I254" t="s">
        <v>42</v>
      </c>
      <c r="J254" t="s">
        <v>47</v>
      </c>
      <c r="K254" t="e">
        <f>VLOOKUP(J254,#REF!,2,FALSE)</f>
        <v>#REF!</v>
      </c>
      <c r="L254" t="s">
        <v>287</v>
      </c>
      <c r="M254" t="s">
        <v>26</v>
      </c>
    </row>
    <row r="255" spans="1:13" x14ac:dyDescent="0.25">
      <c r="A255" t="s">
        <v>402</v>
      </c>
      <c r="B255" t="s">
        <v>10</v>
      </c>
      <c r="C255" t="e">
        <f>VLOOKUP(B255,#REF!,2,FALSE)</f>
        <v>#REF!</v>
      </c>
      <c r="D255">
        <v>18</v>
      </c>
      <c r="E255" t="s">
        <v>11</v>
      </c>
      <c r="F255" t="s">
        <v>22</v>
      </c>
      <c r="G255">
        <f t="shared" si="3"/>
        <v>2</v>
      </c>
      <c r="H255" t="s">
        <v>13</v>
      </c>
      <c r="I255" t="s">
        <v>30</v>
      </c>
      <c r="J255" t="s">
        <v>47</v>
      </c>
      <c r="K255" t="e">
        <f>VLOOKUP(J255,#REF!,2,FALSE)</f>
        <v>#REF!</v>
      </c>
      <c r="L255" t="s">
        <v>403</v>
      </c>
      <c r="M255" t="s">
        <v>26</v>
      </c>
    </row>
    <row r="256" spans="1:13" x14ac:dyDescent="0.25">
      <c r="A256" t="s">
        <v>404</v>
      </c>
      <c r="B256" t="s">
        <v>21</v>
      </c>
      <c r="C256" t="e">
        <f>VLOOKUP(B256,#REF!,2,FALSE)</f>
        <v>#REF!</v>
      </c>
      <c r="D256">
        <v>13</v>
      </c>
      <c r="E256" t="s">
        <v>11</v>
      </c>
      <c r="F256" t="s">
        <v>22</v>
      </c>
      <c r="G256">
        <f t="shared" si="3"/>
        <v>2</v>
      </c>
      <c r="H256" t="s">
        <v>23</v>
      </c>
      <c r="I256" t="s">
        <v>405</v>
      </c>
      <c r="J256" t="s">
        <v>15</v>
      </c>
      <c r="K256" t="e">
        <f>VLOOKUP(J256,#REF!,2,FALSE)</f>
        <v>#REF!</v>
      </c>
      <c r="L256" t="s">
        <v>16</v>
      </c>
      <c r="M256" t="s">
        <v>17</v>
      </c>
    </row>
    <row r="257" spans="1:13" x14ac:dyDescent="0.25">
      <c r="A257" t="s">
        <v>406</v>
      </c>
      <c r="B257" t="s">
        <v>10</v>
      </c>
      <c r="C257" t="e">
        <f>VLOOKUP(B257,#REF!,2,FALSE)</f>
        <v>#REF!</v>
      </c>
      <c r="D257">
        <v>17</v>
      </c>
      <c r="E257" t="s">
        <v>11</v>
      </c>
      <c r="F257" t="s">
        <v>22</v>
      </c>
      <c r="G257">
        <f t="shared" si="3"/>
        <v>2</v>
      </c>
      <c r="H257" t="s">
        <v>13</v>
      </c>
      <c r="I257" t="s">
        <v>19</v>
      </c>
      <c r="J257" t="s">
        <v>47</v>
      </c>
      <c r="K257" t="e">
        <f>VLOOKUP(J257,#REF!,2,FALSE)</f>
        <v>#REF!</v>
      </c>
      <c r="L257" t="s">
        <v>16</v>
      </c>
      <c r="M257" t="s">
        <v>26</v>
      </c>
    </row>
    <row r="258" spans="1:13" x14ac:dyDescent="0.25">
      <c r="A258" t="s">
        <v>407</v>
      </c>
      <c r="B258" t="s">
        <v>21</v>
      </c>
      <c r="C258" t="e">
        <f>VLOOKUP(B258,#REF!,2,FALSE)</f>
        <v>#REF!</v>
      </c>
      <c r="D258">
        <v>11</v>
      </c>
      <c r="E258" t="s">
        <v>11</v>
      </c>
      <c r="F258" t="s">
        <v>92</v>
      </c>
      <c r="G258">
        <v>0</v>
      </c>
      <c r="H258" t="s">
        <v>13</v>
      </c>
      <c r="I258" t="s">
        <v>14</v>
      </c>
      <c r="J258" t="s">
        <v>24</v>
      </c>
      <c r="K258" t="e">
        <f>VLOOKUP(J258,#REF!,2,FALSE)</f>
        <v>#REF!</v>
      </c>
      <c r="L258" t="s">
        <v>16</v>
      </c>
      <c r="M258" t="s">
        <v>17</v>
      </c>
    </row>
    <row r="259" spans="1:13" x14ac:dyDescent="0.25">
      <c r="A259" t="s">
        <v>408</v>
      </c>
      <c r="B259" t="s">
        <v>10</v>
      </c>
      <c r="C259" t="e">
        <f>VLOOKUP(B259,#REF!,2,FALSE)</f>
        <v>#REF!</v>
      </c>
      <c r="D259">
        <v>17</v>
      </c>
      <c r="E259" t="s">
        <v>11</v>
      </c>
      <c r="F259" t="s">
        <v>22</v>
      </c>
      <c r="G259">
        <f t="shared" ref="G259:G322" si="4">IF(EXACT(F259,"Weiblich"),2,1)</f>
        <v>2</v>
      </c>
      <c r="H259" t="s">
        <v>13</v>
      </c>
      <c r="I259" t="s">
        <v>30</v>
      </c>
      <c r="J259" t="s">
        <v>15</v>
      </c>
      <c r="K259" t="e">
        <f>VLOOKUP(J259,#REF!,2,FALSE)</f>
        <v>#REF!</v>
      </c>
      <c r="L259" t="s">
        <v>409</v>
      </c>
      <c r="M259" t="s">
        <v>26</v>
      </c>
    </row>
    <row r="260" spans="1:13" x14ac:dyDescent="0.25">
      <c r="A260" t="s">
        <v>410</v>
      </c>
      <c r="B260" t="s">
        <v>10</v>
      </c>
      <c r="C260" t="e">
        <f>VLOOKUP(B260,#REF!,2,FALSE)</f>
        <v>#REF!</v>
      </c>
      <c r="D260">
        <v>16</v>
      </c>
      <c r="E260" t="s">
        <v>11</v>
      </c>
      <c r="F260" t="s">
        <v>22</v>
      </c>
      <c r="G260">
        <f t="shared" si="4"/>
        <v>2</v>
      </c>
      <c r="H260" t="s">
        <v>13</v>
      </c>
      <c r="I260" t="s">
        <v>19</v>
      </c>
      <c r="J260" t="s">
        <v>47</v>
      </c>
      <c r="K260" t="e">
        <f>VLOOKUP(J260,#REF!,2,FALSE)</f>
        <v>#REF!</v>
      </c>
      <c r="L260" t="s">
        <v>16</v>
      </c>
      <c r="M260" t="s">
        <v>17</v>
      </c>
    </row>
    <row r="261" spans="1:13" x14ac:dyDescent="0.25">
      <c r="A261" t="s">
        <v>411</v>
      </c>
      <c r="B261" t="s">
        <v>10</v>
      </c>
      <c r="C261" t="e">
        <f>VLOOKUP(B261,#REF!,2,FALSE)</f>
        <v>#REF!</v>
      </c>
      <c r="D261">
        <v>18</v>
      </c>
      <c r="E261" t="s">
        <v>11</v>
      </c>
      <c r="F261" t="s">
        <v>12</v>
      </c>
      <c r="G261">
        <f t="shared" si="4"/>
        <v>1</v>
      </c>
      <c r="H261" t="s">
        <v>23</v>
      </c>
      <c r="I261" t="s">
        <v>30</v>
      </c>
      <c r="J261" t="s">
        <v>43</v>
      </c>
      <c r="K261" t="e">
        <f>VLOOKUP(J261,#REF!,2,FALSE)</f>
        <v>#REF!</v>
      </c>
      <c r="L261" t="s">
        <v>16</v>
      </c>
      <c r="M261" t="s">
        <v>26</v>
      </c>
    </row>
    <row r="262" spans="1:13" x14ac:dyDescent="0.25">
      <c r="A262" t="s">
        <v>412</v>
      </c>
      <c r="B262" t="s">
        <v>21</v>
      </c>
      <c r="C262" t="e">
        <f>VLOOKUP(B262,#REF!,2,FALSE)</f>
        <v>#REF!</v>
      </c>
      <c r="D262">
        <v>11</v>
      </c>
      <c r="E262" t="s">
        <v>11</v>
      </c>
      <c r="F262" t="s">
        <v>22</v>
      </c>
      <c r="G262">
        <f t="shared" si="4"/>
        <v>2</v>
      </c>
      <c r="H262" t="s">
        <v>13</v>
      </c>
      <c r="I262" t="s">
        <v>19</v>
      </c>
      <c r="J262" t="s">
        <v>47</v>
      </c>
      <c r="K262" t="e">
        <f>VLOOKUP(J262,#REF!,2,FALSE)</f>
        <v>#REF!</v>
      </c>
      <c r="L262" t="s">
        <v>16</v>
      </c>
      <c r="M262" t="s">
        <v>26</v>
      </c>
    </row>
    <row r="263" spans="1:13" x14ac:dyDescent="0.25">
      <c r="A263" t="s">
        <v>413</v>
      </c>
      <c r="B263" t="s">
        <v>40</v>
      </c>
      <c r="C263" t="e">
        <f>VLOOKUP(B263,#REF!,2,FALSE)</f>
        <v>#REF!</v>
      </c>
      <c r="D263">
        <v>68</v>
      </c>
      <c r="E263" t="s">
        <v>414</v>
      </c>
      <c r="F263" t="s">
        <v>195</v>
      </c>
      <c r="G263">
        <v>3</v>
      </c>
      <c r="H263" t="s">
        <v>23</v>
      </c>
      <c r="I263" t="s">
        <v>415</v>
      </c>
      <c r="J263" t="s">
        <v>24</v>
      </c>
      <c r="K263" t="e">
        <f>VLOOKUP(J263,#REF!,2,FALSE)</f>
        <v>#REF!</v>
      </c>
      <c r="L263" t="s">
        <v>16</v>
      </c>
      <c r="M263" t="s">
        <v>26</v>
      </c>
    </row>
    <row r="264" spans="1:13" x14ac:dyDescent="0.25">
      <c r="A264" t="s">
        <v>416</v>
      </c>
      <c r="B264" t="s">
        <v>21</v>
      </c>
      <c r="C264" t="e">
        <f>VLOOKUP(B264,#REF!,2,FALSE)</f>
        <v>#REF!</v>
      </c>
      <c r="D264">
        <v>12</v>
      </c>
      <c r="E264" t="s">
        <v>11</v>
      </c>
      <c r="F264" t="s">
        <v>12</v>
      </c>
      <c r="G264">
        <f t="shared" si="4"/>
        <v>1</v>
      </c>
      <c r="H264" t="s">
        <v>13</v>
      </c>
      <c r="I264" t="s">
        <v>19</v>
      </c>
      <c r="J264" t="s">
        <v>47</v>
      </c>
      <c r="K264" t="e">
        <f>VLOOKUP(J264,#REF!,2,FALSE)</f>
        <v>#REF!</v>
      </c>
      <c r="L264" t="s">
        <v>326</v>
      </c>
      <c r="M264" t="s">
        <v>26</v>
      </c>
    </row>
    <row r="265" spans="1:13" x14ac:dyDescent="0.25">
      <c r="A265" t="s">
        <v>417</v>
      </c>
      <c r="B265" t="s">
        <v>21</v>
      </c>
      <c r="C265" t="e">
        <f>VLOOKUP(B265,#REF!,2,FALSE)</f>
        <v>#REF!</v>
      </c>
      <c r="D265">
        <v>12</v>
      </c>
      <c r="E265" t="s">
        <v>11</v>
      </c>
      <c r="F265" t="s">
        <v>12</v>
      </c>
      <c r="G265">
        <f t="shared" si="4"/>
        <v>1</v>
      </c>
      <c r="H265" t="s">
        <v>13</v>
      </c>
      <c r="I265" t="s">
        <v>19</v>
      </c>
      <c r="J265" t="s">
        <v>47</v>
      </c>
      <c r="K265" t="e">
        <f>VLOOKUP(J265,#REF!,2,FALSE)</f>
        <v>#REF!</v>
      </c>
      <c r="L265" t="s">
        <v>326</v>
      </c>
      <c r="M265" t="s">
        <v>26</v>
      </c>
    </row>
    <row r="266" spans="1:13" x14ac:dyDescent="0.25">
      <c r="A266" t="s">
        <v>418</v>
      </c>
      <c r="B266" t="s">
        <v>21</v>
      </c>
      <c r="C266" t="e">
        <f>VLOOKUP(B266,#REF!,2,FALSE)</f>
        <v>#REF!</v>
      </c>
      <c r="D266">
        <v>11</v>
      </c>
      <c r="E266" t="s">
        <v>11</v>
      </c>
      <c r="F266" t="s">
        <v>12</v>
      </c>
      <c r="G266">
        <f t="shared" si="4"/>
        <v>1</v>
      </c>
      <c r="H266" t="s">
        <v>13</v>
      </c>
      <c r="I266" t="s">
        <v>419</v>
      </c>
      <c r="J266" t="s">
        <v>24</v>
      </c>
      <c r="K266" t="e">
        <f>VLOOKUP(J266,#REF!,2,FALSE)</f>
        <v>#REF!</v>
      </c>
      <c r="L266" t="s">
        <v>420</v>
      </c>
      <c r="M266" t="s">
        <v>26</v>
      </c>
    </row>
    <row r="267" spans="1:13" x14ac:dyDescent="0.25">
      <c r="A267" t="s">
        <v>421</v>
      </c>
      <c r="B267" t="s">
        <v>21</v>
      </c>
      <c r="C267" t="e">
        <f>VLOOKUP(B267,#REF!,2,FALSE)</f>
        <v>#REF!</v>
      </c>
      <c r="D267">
        <v>14</v>
      </c>
      <c r="E267" t="s">
        <v>11</v>
      </c>
      <c r="F267" t="s">
        <v>22</v>
      </c>
      <c r="G267">
        <f t="shared" si="4"/>
        <v>2</v>
      </c>
      <c r="H267" t="s">
        <v>13</v>
      </c>
      <c r="I267" t="s">
        <v>19</v>
      </c>
      <c r="J267" t="s">
        <v>15</v>
      </c>
      <c r="K267" t="e">
        <f>VLOOKUP(J267,#REF!,2,FALSE)</f>
        <v>#REF!</v>
      </c>
      <c r="L267" t="s">
        <v>67</v>
      </c>
      <c r="M267" t="s">
        <v>17</v>
      </c>
    </row>
    <row r="268" spans="1:13" x14ac:dyDescent="0.25">
      <c r="A268" t="s">
        <v>422</v>
      </c>
      <c r="B268" t="s">
        <v>10</v>
      </c>
      <c r="C268" t="e">
        <f>VLOOKUP(B268,#REF!,2,FALSE)</f>
        <v>#REF!</v>
      </c>
      <c r="D268">
        <v>16</v>
      </c>
      <c r="E268" t="s">
        <v>11</v>
      </c>
      <c r="F268" t="s">
        <v>12</v>
      </c>
      <c r="G268">
        <f t="shared" si="4"/>
        <v>1</v>
      </c>
      <c r="H268" t="s">
        <v>13</v>
      </c>
      <c r="I268" t="s">
        <v>19</v>
      </c>
      <c r="J268" t="s">
        <v>15</v>
      </c>
      <c r="K268" t="e">
        <f>VLOOKUP(J268,#REF!,2,FALSE)</f>
        <v>#REF!</v>
      </c>
      <c r="L268" t="s">
        <v>19</v>
      </c>
      <c r="M268" t="s">
        <v>26</v>
      </c>
    </row>
    <row r="269" spans="1:13" x14ac:dyDescent="0.25">
      <c r="A269" t="s">
        <v>423</v>
      </c>
      <c r="B269" t="s">
        <v>21</v>
      </c>
      <c r="C269" t="e">
        <f>VLOOKUP(B269,#REF!,2,FALSE)</f>
        <v>#REF!</v>
      </c>
      <c r="D269">
        <v>14</v>
      </c>
      <c r="E269" t="s">
        <v>11</v>
      </c>
      <c r="F269" t="s">
        <v>12</v>
      </c>
      <c r="G269">
        <f t="shared" si="4"/>
        <v>1</v>
      </c>
      <c r="H269" t="s">
        <v>13</v>
      </c>
      <c r="I269" t="s">
        <v>19</v>
      </c>
      <c r="J269" t="s">
        <v>24</v>
      </c>
      <c r="K269" t="e">
        <f>VLOOKUP(J269,#REF!,2,FALSE)</f>
        <v>#REF!</v>
      </c>
      <c r="L269" t="s">
        <v>424</v>
      </c>
      <c r="M269" t="s">
        <v>26</v>
      </c>
    </row>
    <row r="270" spans="1:13" x14ac:dyDescent="0.25">
      <c r="A270" t="s">
        <v>425</v>
      </c>
      <c r="B270" t="s">
        <v>10</v>
      </c>
      <c r="C270" t="e">
        <f>VLOOKUP(B270,#REF!,2,FALSE)</f>
        <v>#REF!</v>
      </c>
      <c r="D270">
        <v>16</v>
      </c>
      <c r="E270" t="s">
        <v>11</v>
      </c>
      <c r="F270" t="s">
        <v>12</v>
      </c>
      <c r="G270">
        <f t="shared" si="4"/>
        <v>1</v>
      </c>
      <c r="H270" t="s">
        <v>13</v>
      </c>
      <c r="I270" t="s">
        <v>19</v>
      </c>
      <c r="J270" t="s">
        <v>43</v>
      </c>
      <c r="K270" t="e">
        <f>VLOOKUP(J270,#REF!,2,FALSE)</f>
        <v>#REF!</v>
      </c>
      <c r="L270" t="s">
        <v>426</v>
      </c>
      <c r="M270" t="s">
        <v>17</v>
      </c>
    </row>
    <row r="271" spans="1:13" x14ac:dyDescent="0.25">
      <c r="A271" t="s">
        <v>427</v>
      </c>
      <c r="B271" t="s">
        <v>10</v>
      </c>
      <c r="C271" t="e">
        <f>VLOOKUP(B271,#REF!,2,FALSE)</f>
        <v>#REF!</v>
      </c>
      <c r="D271">
        <v>16</v>
      </c>
      <c r="E271" t="s">
        <v>11</v>
      </c>
      <c r="F271" t="s">
        <v>22</v>
      </c>
      <c r="G271">
        <f t="shared" si="4"/>
        <v>2</v>
      </c>
      <c r="H271" t="s">
        <v>13</v>
      </c>
      <c r="I271" t="s">
        <v>19</v>
      </c>
      <c r="J271" t="s">
        <v>47</v>
      </c>
      <c r="K271" t="e">
        <f>VLOOKUP(J271,#REF!,2,FALSE)</f>
        <v>#REF!</v>
      </c>
      <c r="L271" t="s">
        <v>428</v>
      </c>
      <c r="M271" t="s">
        <v>17</v>
      </c>
    </row>
    <row r="272" spans="1:13" x14ac:dyDescent="0.25">
      <c r="A272" t="s">
        <v>427</v>
      </c>
      <c r="B272" t="s">
        <v>21</v>
      </c>
      <c r="C272" t="e">
        <f>VLOOKUP(B272,#REF!,2,FALSE)</f>
        <v>#REF!</v>
      </c>
      <c r="D272">
        <v>14</v>
      </c>
      <c r="E272" t="s">
        <v>11</v>
      </c>
      <c r="F272" t="s">
        <v>22</v>
      </c>
      <c r="G272">
        <f t="shared" si="4"/>
        <v>2</v>
      </c>
      <c r="H272" t="s">
        <v>13</v>
      </c>
      <c r="I272" t="s">
        <v>429</v>
      </c>
      <c r="J272" t="s">
        <v>47</v>
      </c>
      <c r="K272" t="e">
        <f>VLOOKUP(J272,#REF!,2,FALSE)</f>
        <v>#REF!</v>
      </c>
      <c r="L272" t="s">
        <v>430</v>
      </c>
      <c r="M272" t="s">
        <v>26</v>
      </c>
    </row>
    <row r="273" spans="1:13" x14ac:dyDescent="0.25">
      <c r="A273" t="s">
        <v>431</v>
      </c>
      <c r="B273" t="s">
        <v>21</v>
      </c>
      <c r="C273" t="e">
        <f>VLOOKUP(B273,#REF!,2,FALSE)</f>
        <v>#REF!</v>
      </c>
      <c r="D273">
        <v>14</v>
      </c>
      <c r="E273" t="s">
        <v>11</v>
      </c>
      <c r="F273" t="s">
        <v>22</v>
      </c>
      <c r="G273">
        <f t="shared" si="4"/>
        <v>2</v>
      </c>
      <c r="H273" t="s">
        <v>13</v>
      </c>
      <c r="I273" t="s">
        <v>19</v>
      </c>
      <c r="J273" t="s">
        <v>15</v>
      </c>
      <c r="K273" t="e">
        <f>VLOOKUP(J273,#REF!,2,FALSE)</f>
        <v>#REF!</v>
      </c>
      <c r="L273" t="s">
        <v>432</v>
      </c>
      <c r="M273" t="s">
        <v>17</v>
      </c>
    </row>
    <row r="274" spans="1:13" x14ac:dyDescent="0.25">
      <c r="A274" t="s">
        <v>433</v>
      </c>
      <c r="B274" t="s">
        <v>21</v>
      </c>
      <c r="C274" t="e">
        <f>VLOOKUP(B274,#REF!,2,FALSE)</f>
        <v>#REF!</v>
      </c>
      <c r="D274">
        <v>13</v>
      </c>
      <c r="E274" t="s">
        <v>11</v>
      </c>
      <c r="F274" t="s">
        <v>22</v>
      </c>
      <c r="G274">
        <f t="shared" si="4"/>
        <v>2</v>
      </c>
      <c r="H274" t="s">
        <v>13</v>
      </c>
      <c r="I274" t="s">
        <v>434</v>
      </c>
      <c r="J274" t="s">
        <v>43</v>
      </c>
      <c r="K274" t="e">
        <f>VLOOKUP(J274,#REF!,2,FALSE)</f>
        <v>#REF!</v>
      </c>
      <c r="L274" t="s">
        <v>435</v>
      </c>
      <c r="M274" t="s">
        <v>26</v>
      </c>
    </row>
    <row r="275" spans="1:13" x14ac:dyDescent="0.25">
      <c r="A275" t="s">
        <v>436</v>
      </c>
      <c r="B275" t="s">
        <v>21</v>
      </c>
      <c r="C275" t="e">
        <f>VLOOKUP(B275,#REF!,2,FALSE)</f>
        <v>#REF!</v>
      </c>
      <c r="D275">
        <v>12</v>
      </c>
      <c r="E275" t="s">
        <v>11</v>
      </c>
      <c r="F275" t="s">
        <v>22</v>
      </c>
      <c r="G275">
        <f t="shared" si="4"/>
        <v>2</v>
      </c>
      <c r="J275" t="s">
        <v>15</v>
      </c>
      <c r="K275" t="e">
        <f>VLOOKUP(J275,#REF!,2,FALSE)</f>
        <v>#REF!</v>
      </c>
      <c r="L275" t="s">
        <v>437</v>
      </c>
    </row>
    <row r="276" spans="1:13" x14ac:dyDescent="0.25">
      <c r="A276" t="s">
        <v>438</v>
      </c>
      <c r="B276" t="s">
        <v>21</v>
      </c>
      <c r="C276" t="e">
        <f>VLOOKUP(B276,#REF!,2,FALSE)</f>
        <v>#REF!</v>
      </c>
      <c r="D276">
        <v>11</v>
      </c>
      <c r="E276" t="s">
        <v>11</v>
      </c>
      <c r="F276" t="s">
        <v>22</v>
      </c>
      <c r="G276">
        <f t="shared" si="4"/>
        <v>2</v>
      </c>
      <c r="H276" t="s">
        <v>13</v>
      </c>
      <c r="I276" t="s">
        <v>19</v>
      </c>
      <c r="J276" t="s">
        <v>24</v>
      </c>
      <c r="K276" t="e">
        <f>VLOOKUP(J276,#REF!,2,FALSE)</f>
        <v>#REF!</v>
      </c>
      <c r="L276" t="s">
        <v>67</v>
      </c>
      <c r="M276" t="s">
        <v>17</v>
      </c>
    </row>
    <row r="277" spans="1:13" x14ac:dyDescent="0.25">
      <c r="A277" t="s">
        <v>439</v>
      </c>
      <c r="B277" t="s">
        <v>21</v>
      </c>
      <c r="C277" t="e">
        <f>VLOOKUP(B277,#REF!,2,FALSE)</f>
        <v>#REF!</v>
      </c>
      <c r="D277">
        <v>14</v>
      </c>
      <c r="E277" t="s">
        <v>11</v>
      </c>
      <c r="F277" t="s">
        <v>22</v>
      </c>
      <c r="G277">
        <f t="shared" si="4"/>
        <v>2</v>
      </c>
      <c r="H277" t="s">
        <v>13</v>
      </c>
      <c r="I277" t="s">
        <v>19</v>
      </c>
      <c r="J277" t="s">
        <v>24</v>
      </c>
      <c r="K277" t="e">
        <f>VLOOKUP(J277,#REF!,2,FALSE)</f>
        <v>#REF!</v>
      </c>
      <c r="L277" t="s">
        <v>440</v>
      </c>
      <c r="M277" t="s">
        <v>26</v>
      </c>
    </row>
    <row r="278" spans="1:13" x14ac:dyDescent="0.25">
      <c r="A278" t="s">
        <v>441</v>
      </c>
      <c r="B278" t="s">
        <v>21</v>
      </c>
      <c r="C278" t="e">
        <f>VLOOKUP(B278,#REF!,2,FALSE)</f>
        <v>#REF!</v>
      </c>
      <c r="D278">
        <v>13</v>
      </c>
      <c r="E278" t="s">
        <v>11</v>
      </c>
      <c r="F278" t="s">
        <v>22</v>
      </c>
      <c r="G278">
        <f t="shared" si="4"/>
        <v>2</v>
      </c>
      <c r="H278" t="s">
        <v>23</v>
      </c>
      <c r="I278" t="s">
        <v>19</v>
      </c>
      <c r="J278" t="s">
        <v>24</v>
      </c>
      <c r="K278" t="e">
        <f>VLOOKUP(J278,#REF!,2,FALSE)</f>
        <v>#REF!</v>
      </c>
      <c r="L278" t="s">
        <v>442</v>
      </c>
      <c r="M278" t="s">
        <v>26</v>
      </c>
    </row>
    <row r="279" spans="1:13" x14ac:dyDescent="0.25">
      <c r="A279" t="s">
        <v>443</v>
      </c>
      <c r="B279" t="s">
        <v>21</v>
      </c>
      <c r="C279" t="e">
        <f>VLOOKUP(B279,#REF!,2,FALSE)</f>
        <v>#REF!</v>
      </c>
      <c r="D279">
        <v>11</v>
      </c>
      <c r="E279" t="s">
        <v>11</v>
      </c>
      <c r="F279" t="s">
        <v>22</v>
      </c>
      <c r="G279">
        <f t="shared" si="4"/>
        <v>2</v>
      </c>
      <c r="H279" t="s">
        <v>23</v>
      </c>
      <c r="I279" t="s">
        <v>19</v>
      </c>
      <c r="J279" t="s">
        <v>24</v>
      </c>
      <c r="K279" t="e">
        <f>VLOOKUP(J279,#REF!,2,FALSE)</f>
        <v>#REF!</v>
      </c>
      <c r="L279" t="s">
        <v>444</v>
      </c>
    </row>
    <row r="280" spans="1:13" x14ac:dyDescent="0.25">
      <c r="A280" t="s">
        <v>445</v>
      </c>
      <c r="B280" t="s">
        <v>10</v>
      </c>
      <c r="C280" t="e">
        <f>VLOOKUP(B280,#REF!,2,FALSE)</f>
        <v>#REF!</v>
      </c>
      <c r="D280">
        <v>17</v>
      </c>
      <c r="E280" t="s">
        <v>11</v>
      </c>
      <c r="F280" t="s">
        <v>12</v>
      </c>
      <c r="G280">
        <f t="shared" si="4"/>
        <v>1</v>
      </c>
      <c r="H280" t="s">
        <v>13</v>
      </c>
      <c r="I280" t="s">
        <v>19</v>
      </c>
      <c r="J280" t="s">
        <v>24</v>
      </c>
      <c r="K280" t="e">
        <f>VLOOKUP(J280,#REF!,2,FALSE)</f>
        <v>#REF!</v>
      </c>
      <c r="L280" t="s">
        <v>16</v>
      </c>
      <c r="M280" t="s">
        <v>17</v>
      </c>
    </row>
    <row r="281" spans="1:13" x14ac:dyDescent="0.25">
      <c r="A281" t="s">
        <v>446</v>
      </c>
      <c r="B281" t="s">
        <v>21</v>
      </c>
      <c r="C281" t="e">
        <f>VLOOKUP(B281,#REF!,2,FALSE)</f>
        <v>#REF!</v>
      </c>
      <c r="D281">
        <v>11</v>
      </c>
      <c r="E281" t="s">
        <v>11</v>
      </c>
      <c r="F281" t="s">
        <v>22</v>
      </c>
      <c r="G281">
        <f t="shared" si="4"/>
        <v>2</v>
      </c>
      <c r="H281" t="s">
        <v>23</v>
      </c>
      <c r="I281" t="s">
        <v>30</v>
      </c>
      <c r="J281" t="s">
        <v>15</v>
      </c>
      <c r="K281" t="e">
        <f>VLOOKUP(J281,#REF!,2,FALSE)</f>
        <v>#REF!</v>
      </c>
      <c r="L281" t="s">
        <v>447</v>
      </c>
      <c r="M281" t="s">
        <v>26</v>
      </c>
    </row>
    <row r="282" spans="1:13" x14ac:dyDescent="0.25">
      <c r="A282" t="s">
        <v>448</v>
      </c>
      <c r="B282" t="s">
        <v>10</v>
      </c>
      <c r="C282" t="e">
        <f>VLOOKUP(B282,#REF!,2,FALSE)</f>
        <v>#REF!</v>
      </c>
      <c r="D282">
        <v>17</v>
      </c>
      <c r="E282" t="s">
        <v>11</v>
      </c>
      <c r="F282" t="s">
        <v>12</v>
      </c>
      <c r="G282">
        <f t="shared" si="4"/>
        <v>1</v>
      </c>
      <c r="H282" t="s">
        <v>23</v>
      </c>
      <c r="I282" t="s">
        <v>19</v>
      </c>
      <c r="J282" t="s">
        <v>24</v>
      </c>
      <c r="K282" t="e">
        <f>VLOOKUP(J282,#REF!,2,FALSE)</f>
        <v>#REF!</v>
      </c>
      <c r="L282" t="s">
        <v>449</v>
      </c>
      <c r="M282" t="s">
        <v>26</v>
      </c>
    </row>
    <row r="283" spans="1:13" x14ac:dyDescent="0.25">
      <c r="A283" t="s">
        <v>450</v>
      </c>
      <c r="B283" t="s">
        <v>21</v>
      </c>
      <c r="C283" t="e">
        <f>VLOOKUP(B283,#REF!,2,FALSE)</f>
        <v>#REF!</v>
      </c>
      <c r="D283">
        <v>12</v>
      </c>
      <c r="E283" t="s">
        <v>11</v>
      </c>
      <c r="F283" t="s">
        <v>22</v>
      </c>
      <c r="G283">
        <f t="shared" si="4"/>
        <v>2</v>
      </c>
      <c r="H283" t="s">
        <v>13</v>
      </c>
      <c r="I283" t="s">
        <v>19</v>
      </c>
      <c r="J283" t="s">
        <v>43</v>
      </c>
      <c r="K283" t="e">
        <f>VLOOKUP(J283,#REF!,2,FALSE)</f>
        <v>#REF!</v>
      </c>
      <c r="L283" t="s">
        <v>16</v>
      </c>
      <c r="M283" t="s">
        <v>26</v>
      </c>
    </row>
    <row r="284" spans="1:13" x14ac:dyDescent="0.25">
      <c r="A284" t="s">
        <v>451</v>
      </c>
      <c r="B284" t="s">
        <v>10</v>
      </c>
      <c r="C284" t="e">
        <f>VLOOKUP(B284,#REF!,2,FALSE)</f>
        <v>#REF!</v>
      </c>
      <c r="D284">
        <v>16</v>
      </c>
      <c r="E284" t="s">
        <v>11</v>
      </c>
      <c r="F284" t="s">
        <v>22</v>
      </c>
      <c r="G284">
        <f t="shared" si="4"/>
        <v>2</v>
      </c>
      <c r="H284" t="s">
        <v>13</v>
      </c>
      <c r="I284" t="s">
        <v>14</v>
      </c>
      <c r="J284" t="s">
        <v>24</v>
      </c>
      <c r="K284" t="e">
        <f>VLOOKUP(J284,#REF!,2,FALSE)</f>
        <v>#REF!</v>
      </c>
      <c r="L284" t="s">
        <v>16</v>
      </c>
      <c r="M284" t="s">
        <v>26</v>
      </c>
    </row>
    <row r="285" spans="1:13" x14ac:dyDescent="0.25">
      <c r="A285" t="s">
        <v>452</v>
      </c>
      <c r="B285" t="s">
        <v>21</v>
      </c>
      <c r="C285" t="e">
        <f>VLOOKUP(B285,#REF!,2,FALSE)</f>
        <v>#REF!</v>
      </c>
      <c r="D285">
        <v>12</v>
      </c>
      <c r="E285" t="s">
        <v>11</v>
      </c>
      <c r="F285" t="s">
        <v>92</v>
      </c>
      <c r="G285">
        <v>0</v>
      </c>
      <c r="H285" t="s">
        <v>23</v>
      </c>
      <c r="I285" t="s">
        <v>30</v>
      </c>
      <c r="J285" t="s">
        <v>24</v>
      </c>
      <c r="K285" t="e">
        <f>VLOOKUP(J285,#REF!,2,FALSE)</f>
        <v>#REF!</v>
      </c>
      <c r="L285" t="s">
        <v>16</v>
      </c>
      <c r="M285" t="s">
        <v>26</v>
      </c>
    </row>
    <row r="286" spans="1:13" x14ac:dyDescent="0.25">
      <c r="A286" t="s">
        <v>453</v>
      </c>
      <c r="B286" t="s">
        <v>21</v>
      </c>
      <c r="C286" t="e">
        <f>VLOOKUP(B286,#REF!,2,FALSE)</f>
        <v>#REF!</v>
      </c>
      <c r="D286">
        <v>12</v>
      </c>
      <c r="E286" t="s">
        <v>11</v>
      </c>
      <c r="F286" t="s">
        <v>22</v>
      </c>
      <c r="G286">
        <f t="shared" si="4"/>
        <v>2</v>
      </c>
      <c r="H286" t="s">
        <v>13</v>
      </c>
      <c r="I286" t="s">
        <v>454</v>
      </c>
      <c r="J286" t="s">
        <v>15</v>
      </c>
      <c r="K286" t="e">
        <f>VLOOKUP(J286,#REF!,2,FALSE)</f>
        <v>#REF!</v>
      </c>
      <c r="L286" t="s">
        <v>16</v>
      </c>
      <c r="M286" t="s">
        <v>17</v>
      </c>
    </row>
    <row r="287" spans="1:13" x14ac:dyDescent="0.25">
      <c r="A287" t="s">
        <v>455</v>
      </c>
      <c r="B287" t="s">
        <v>10</v>
      </c>
      <c r="C287" t="e">
        <f>VLOOKUP(B287,#REF!,2,FALSE)</f>
        <v>#REF!</v>
      </c>
      <c r="D287">
        <v>15</v>
      </c>
      <c r="E287" t="s">
        <v>11</v>
      </c>
      <c r="F287" t="s">
        <v>22</v>
      </c>
      <c r="G287">
        <f t="shared" si="4"/>
        <v>2</v>
      </c>
      <c r="H287" t="s">
        <v>13</v>
      </c>
      <c r="I287" t="s">
        <v>19</v>
      </c>
      <c r="J287" t="s">
        <v>24</v>
      </c>
      <c r="K287" t="e">
        <f>VLOOKUP(J287,#REF!,2,FALSE)</f>
        <v>#REF!</v>
      </c>
      <c r="L287" t="s">
        <v>19</v>
      </c>
      <c r="M287" t="s">
        <v>26</v>
      </c>
    </row>
    <row r="288" spans="1:13" x14ac:dyDescent="0.25">
      <c r="A288" t="s">
        <v>456</v>
      </c>
      <c r="B288" t="s">
        <v>21</v>
      </c>
      <c r="C288" t="e">
        <f>VLOOKUP(B288,#REF!,2,FALSE)</f>
        <v>#REF!</v>
      </c>
      <c r="D288">
        <v>14</v>
      </c>
      <c r="E288" t="s">
        <v>11</v>
      </c>
      <c r="F288" t="s">
        <v>22</v>
      </c>
      <c r="G288">
        <f t="shared" si="4"/>
        <v>2</v>
      </c>
      <c r="H288" t="s">
        <v>13</v>
      </c>
      <c r="I288" t="s">
        <v>30</v>
      </c>
      <c r="J288" t="s">
        <v>24</v>
      </c>
      <c r="K288" t="e">
        <f>VLOOKUP(J288,#REF!,2,FALSE)</f>
        <v>#REF!</v>
      </c>
      <c r="L288" t="s">
        <v>16</v>
      </c>
      <c r="M288" t="s">
        <v>26</v>
      </c>
    </row>
    <row r="289" spans="1:13" x14ac:dyDescent="0.25">
      <c r="A289" t="s">
        <v>457</v>
      </c>
      <c r="B289" t="s">
        <v>21</v>
      </c>
      <c r="C289" t="e">
        <f>VLOOKUP(B289,#REF!,2,FALSE)</f>
        <v>#REF!</v>
      </c>
      <c r="D289">
        <v>14</v>
      </c>
      <c r="E289" t="s">
        <v>11</v>
      </c>
      <c r="F289" t="s">
        <v>12</v>
      </c>
      <c r="G289">
        <f t="shared" si="4"/>
        <v>1</v>
      </c>
      <c r="H289" t="s">
        <v>13</v>
      </c>
      <c r="I289" t="s">
        <v>19</v>
      </c>
      <c r="J289" t="s">
        <v>24</v>
      </c>
      <c r="K289" t="e">
        <f>VLOOKUP(J289,#REF!,2,FALSE)</f>
        <v>#REF!</v>
      </c>
      <c r="L289" t="s">
        <v>458</v>
      </c>
      <c r="M289" t="s">
        <v>17</v>
      </c>
    </row>
    <row r="290" spans="1:13" x14ac:dyDescent="0.25">
      <c r="A290" t="s">
        <v>459</v>
      </c>
      <c r="B290" t="s">
        <v>10</v>
      </c>
      <c r="C290" t="e">
        <f>VLOOKUP(B290,#REF!,2,FALSE)</f>
        <v>#REF!</v>
      </c>
      <c r="D290">
        <v>16</v>
      </c>
      <c r="E290" t="s">
        <v>11</v>
      </c>
      <c r="F290" t="s">
        <v>12</v>
      </c>
      <c r="G290">
        <f t="shared" si="4"/>
        <v>1</v>
      </c>
      <c r="H290" t="s">
        <v>13</v>
      </c>
      <c r="I290" t="s">
        <v>14</v>
      </c>
      <c r="J290" t="s">
        <v>47</v>
      </c>
      <c r="K290" t="e">
        <f>VLOOKUP(J290,#REF!,2,FALSE)</f>
        <v>#REF!</v>
      </c>
      <c r="L290" t="s">
        <v>187</v>
      </c>
      <c r="M290" t="s">
        <v>17</v>
      </c>
    </row>
    <row r="291" spans="1:13" x14ac:dyDescent="0.25">
      <c r="A291" t="s">
        <v>460</v>
      </c>
      <c r="B291" t="s">
        <v>21</v>
      </c>
      <c r="C291" t="e">
        <f>VLOOKUP(B291,#REF!,2,FALSE)</f>
        <v>#REF!</v>
      </c>
      <c r="D291">
        <v>13</v>
      </c>
      <c r="E291" t="s">
        <v>11</v>
      </c>
      <c r="F291" t="s">
        <v>12</v>
      </c>
      <c r="G291">
        <f t="shared" si="4"/>
        <v>1</v>
      </c>
      <c r="H291" t="s">
        <v>13</v>
      </c>
      <c r="I291" t="s">
        <v>19</v>
      </c>
      <c r="J291" t="s">
        <v>24</v>
      </c>
      <c r="K291" t="e">
        <f>VLOOKUP(J291,#REF!,2,FALSE)</f>
        <v>#REF!</v>
      </c>
      <c r="L291" t="s">
        <v>16</v>
      </c>
      <c r="M291" t="s">
        <v>17</v>
      </c>
    </row>
    <row r="292" spans="1:13" x14ac:dyDescent="0.25">
      <c r="A292" t="s">
        <v>461</v>
      </c>
      <c r="B292" t="s">
        <v>10</v>
      </c>
      <c r="C292" t="e">
        <f>VLOOKUP(B292,#REF!,2,FALSE)</f>
        <v>#REF!</v>
      </c>
      <c r="D292">
        <v>18</v>
      </c>
      <c r="E292" t="s">
        <v>11</v>
      </c>
      <c r="F292" t="s">
        <v>22</v>
      </c>
      <c r="G292">
        <f t="shared" si="4"/>
        <v>2</v>
      </c>
      <c r="H292" t="s">
        <v>23</v>
      </c>
      <c r="I292" t="s">
        <v>30</v>
      </c>
      <c r="J292" t="s">
        <v>24</v>
      </c>
      <c r="K292" t="e">
        <f>VLOOKUP(J292,#REF!,2,FALSE)</f>
        <v>#REF!</v>
      </c>
      <c r="L292" t="s">
        <v>16</v>
      </c>
      <c r="M292" t="s">
        <v>26</v>
      </c>
    </row>
    <row r="293" spans="1:13" x14ac:dyDescent="0.25">
      <c r="A293" t="s">
        <v>462</v>
      </c>
      <c r="B293" t="s">
        <v>21</v>
      </c>
      <c r="C293" t="e">
        <f>VLOOKUP(B293,#REF!,2,FALSE)</f>
        <v>#REF!</v>
      </c>
      <c r="D293">
        <v>11</v>
      </c>
      <c r="E293" t="s">
        <v>11</v>
      </c>
      <c r="F293" t="s">
        <v>22</v>
      </c>
      <c r="G293">
        <f t="shared" si="4"/>
        <v>2</v>
      </c>
      <c r="H293" t="s">
        <v>13</v>
      </c>
      <c r="I293" t="s">
        <v>14</v>
      </c>
      <c r="J293" t="s">
        <v>15</v>
      </c>
      <c r="K293" t="e">
        <f>VLOOKUP(J293,#REF!,2,FALSE)</f>
        <v>#REF!</v>
      </c>
      <c r="L293" t="s">
        <v>463</v>
      </c>
      <c r="M293" t="s">
        <v>26</v>
      </c>
    </row>
    <row r="294" spans="1:13" x14ac:dyDescent="0.25">
      <c r="A294" t="s">
        <v>464</v>
      </c>
      <c r="B294" t="s">
        <v>10</v>
      </c>
      <c r="C294" t="e">
        <f>VLOOKUP(B294,#REF!,2,FALSE)</f>
        <v>#REF!</v>
      </c>
      <c r="D294">
        <v>18</v>
      </c>
      <c r="E294" t="s">
        <v>11</v>
      </c>
      <c r="F294" t="s">
        <v>22</v>
      </c>
      <c r="G294">
        <f t="shared" si="4"/>
        <v>2</v>
      </c>
      <c r="H294" t="s">
        <v>13</v>
      </c>
      <c r="I294" t="s">
        <v>14</v>
      </c>
      <c r="J294" t="s">
        <v>24</v>
      </c>
      <c r="K294" t="e">
        <f>VLOOKUP(J294,#REF!,2,FALSE)</f>
        <v>#REF!</v>
      </c>
      <c r="L294" t="s">
        <v>465</v>
      </c>
      <c r="M294" t="s">
        <v>17</v>
      </c>
    </row>
    <row r="295" spans="1:13" x14ac:dyDescent="0.25">
      <c r="A295" t="s">
        <v>466</v>
      </c>
      <c r="B295" t="s">
        <v>10</v>
      </c>
      <c r="C295" t="e">
        <f>VLOOKUP(B295,#REF!,2,FALSE)</f>
        <v>#REF!</v>
      </c>
      <c r="D295">
        <v>15</v>
      </c>
      <c r="E295" t="s">
        <v>11</v>
      </c>
      <c r="F295" t="s">
        <v>12</v>
      </c>
      <c r="G295">
        <f t="shared" si="4"/>
        <v>1</v>
      </c>
      <c r="H295" t="s">
        <v>23</v>
      </c>
      <c r="I295" t="s">
        <v>19</v>
      </c>
      <c r="J295" t="s">
        <v>24</v>
      </c>
      <c r="K295" t="e">
        <f>VLOOKUP(J295,#REF!,2,FALSE)</f>
        <v>#REF!</v>
      </c>
      <c r="L295" t="s">
        <v>225</v>
      </c>
      <c r="M295" t="s">
        <v>26</v>
      </c>
    </row>
    <row r="296" spans="1:13" x14ac:dyDescent="0.25">
      <c r="A296" t="s">
        <v>467</v>
      </c>
      <c r="B296" t="s">
        <v>10</v>
      </c>
      <c r="C296" t="e">
        <f>VLOOKUP(B296,#REF!,2,FALSE)</f>
        <v>#REF!</v>
      </c>
      <c r="D296">
        <v>17</v>
      </c>
      <c r="E296" t="s">
        <v>11</v>
      </c>
      <c r="F296" t="s">
        <v>22</v>
      </c>
      <c r="G296">
        <f t="shared" si="4"/>
        <v>2</v>
      </c>
      <c r="H296" t="s">
        <v>23</v>
      </c>
      <c r="I296" t="s">
        <v>468</v>
      </c>
      <c r="J296" t="s">
        <v>15</v>
      </c>
      <c r="K296" t="e">
        <f>VLOOKUP(J296,#REF!,2,FALSE)</f>
        <v>#REF!</v>
      </c>
      <c r="L296" t="s">
        <v>67</v>
      </c>
      <c r="M296" t="s">
        <v>26</v>
      </c>
    </row>
    <row r="297" spans="1:13" x14ac:dyDescent="0.25">
      <c r="A297" t="s">
        <v>469</v>
      </c>
      <c r="B297" t="s">
        <v>10</v>
      </c>
      <c r="C297" t="e">
        <f>VLOOKUP(B297,#REF!,2,FALSE)</f>
        <v>#REF!</v>
      </c>
      <c r="D297">
        <v>17</v>
      </c>
      <c r="E297" t="s">
        <v>11</v>
      </c>
      <c r="F297" t="s">
        <v>12</v>
      </c>
      <c r="G297">
        <f t="shared" si="4"/>
        <v>1</v>
      </c>
      <c r="H297" t="s">
        <v>13</v>
      </c>
      <c r="I297" t="s">
        <v>470</v>
      </c>
      <c r="J297" t="s">
        <v>43</v>
      </c>
      <c r="K297" t="e">
        <f>VLOOKUP(J297,#REF!,2,FALSE)</f>
        <v>#REF!</v>
      </c>
      <c r="L297" t="s">
        <v>471</v>
      </c>
      <c r="M297" t="s">
        <v>26</v>
      </c>
    </row>
    <row r="298" spans="1:13" x14ac:dyDescent="0.25">
      <c r="A298" t="s">
        <v>472</v>
      </c>
      <c r="B298" t="s">
        <v>21</v>
      </c>
      <c r="C298" t="e">
        <f>VLOOKUP(B298,#REF!,2,FALSE)</f>
        <v>#REF!</v>
      </c>
      <c r="D298">
        <v>11</v>
      </c>
      <c r="E298" t="s">
        <v>11</v>
      </c>
      <c r="F298" t="s">
        <v>22</v>
      </c>
      <c r="G298">
        <f t="shared" si="4"/>
        <v>2</v>
      </c>
      <c r="H298" t="s">
        <v>13</v>
      </c>
      <c r="I298" t="s">
        <v>19</v>
      </c>
      <c r="J298" t="s">
        <v>43</v>
      </c>
      <c r="K298" t="e">
        <f>VLOOKUP(J298,#REF!,2,FALSE)</f>
        <v>#REF!</v>
      </c>
      <c r="L298" t="s">
        <v>473</v>
      </c>
      <c r="M298" t="s">
        <v>26</v>
      </c>
    </row>
    <row r="299" spans="1:13" x14ac:dyDescent="0.25">
      <c r="A299" t="s">
        <v>474</v>
      </c>
      <c r="B299" t="s">
        <v>21</v>
      </c>
      <c r="C299" t="e">
        <f>VLOOKUP(B299,#REF!,2,FALSE)</f>
        <v>#REF!</v>
      </c>
      <c r="D299">
        <v>13</v>
      </c>
      <c r="E299" t="s">
        <v>11</v>
      </c>
      <c r="F299" t="s">
        <v>22</v>
      </c>
      <c r="G299">
        <f t="shared" si="4"/>
        <v>2</v>
      </c>
      <c r="H299" t="s">
        <v>13</v>
      </c>
      <c r="I299" t="s">
        <v>42</v>
      </c>
      <c r="J299" t="s">
        <v>24</v>
      </c>
      <c r="K299" t="e">
        <f>VLOOKUP(J299,#REF!,2,FALSE)</f>
        <v>#REF!</v>
      </c>
      <c r="L299" t="s">
        <v>16</v>
      </c>
      <c r="M299" t="s">
        <v>17</v>
      </c>
    </row>
    <row r="300" spans="1:13" x14ac:dyDescent="0.25">
      <c r="A300" t="s">
        <v>475</v>
      </c>
      <c r="B300" t="s">
        <v>21</v>
      </c>
      <c r="C300" t="e">
        <f>VLOOKUP(B300,#REF!,2,FALSE)</f>
        <v>#REF!</v>
      </c>
      <c r="D300">
        <v>14</v>
      </c>
      <c r="E300" t="s">
        <v>11</v>
      </c>
      <c r="F300" t="s">
        <v>22</v>
      </c>
      <c r="G300">
        <f t="shared" si="4"/>
        <v>2</v>
      </c>
      <c r="H300" t="s">
        <v>23</v>
      </c>
      <c r="I300" t="s">
        <v>476</v>
      </c>
      <c r="J300" t="s">
        <v>24</v>
      </c>
      <c r="K300" t="e">
        <f>VLOOKUP(J300,#REF!,2,FALSE)</f>
        <v>#REF!</v>
      </c>
      <c r="L300" t="s">
        <v>16</v>
      </c>
      <c r="M300" t="s">
        <v>26</v>
      </c>
    </row>
    <row r="301" spans="1:13" x14ac:dyDescent="0.25">
      <c r="A301" t="s">
        <v>477</v>
      </c>
      <c r="B301" t="s">
        <v>21</v>
      </c>
      <c r="C301" t="e">
        <f>VLOOKUP(B301,#REF!,2,FALSE)</f>
        <v>#REF!</v>
      </c>
      <c r="D301">
        <v>11</v>
      </c>
      <c r="E301" t="s">
        <v>11</v>
      </c>
      <c r="F301" t="s">
        <v>92</v>
      </c>
      <c r="G301">
        <v>0</v>
      </c>
      <c r="H301" t="s">
        <v>13</v>
      </c>
      <c r="I301" t="s">
        <v>478</v>
      </c>
      <c r="J301" t="s">
        <v>15</v>
      </c>
      <c r="K301" t="e">
        <f>VLOOKUP(J301,#REF!,2,FALSE)</f>
        <v>#REF!</v>
      </c>
      <c r="L301" t="s">
        <v>479</v>
      </c>
      <c r="M301" t="s">
        <v>17</v>
      </c>
    </row>
    <row r="302" spans="1:13" x14ac:dyDescent="0.25">
      <c r="A302" t="s">
        <v>480</v>
      </c>
      <c r="B302" t="s">
        <v>21</v>
      </c>
      <c r="C302" t="e">
        <f>VLOOKUP(B302,#REF!,2,FALSE)</f>
        <v>#REF!</v>
      </c>
      <c r="D302">
        <v>11</v>
      </c>
      <c r="E302" t="s">
        <v>11</v>
      </c>
      <c r="F302" t="s">
        <v>12</v>
      </c>
      <c r="G302">
        <f t="shared" si="4"/>
        <v>1</v>
      </c>
      <c r="H302" t="s">
        <v>23</v>
      </c>
      <c r="I302" t="s">
        <v>30</v>
      </c>
      <c r="J302" t="s">
        <v>47</v>
      </c>
      <c r="K302" t="e">
        <f>VLOOKUP(J302,#REF!,2,FALSE)</f>
        <v>#REF!</v>
      </c>
      <c r="M302" t="s">
        <v>17</v>
      </c>
    </row>
    <row r="303" spans="1:13" x14ac:dyDescent="0.25">
      <c r="A303" t="s">
        <v>481</v>
      </c>
      <c r="B303" t="s">
        <v>21</v>
      </c>
      <c r="C303" t="e">
        <f>VLOOKUP(B303,#REF!,2,FALSE)</f>
        <v>#REF!</v>
      </c>
      <c r="D303">
        <v>11</v>
      </c>
      <c r="E303" t="s">
        <v>11</v>
      </c>
      <c r="F303" t="s">
        <v>12</v>
      </c>
      <c r="G303">
        <f t="shared" si="4"/>
        <v>1</v>
      </c>
      <c r="H303" t="s">
        <v>13</v>
      </c>
      <c r="I303" t="s">
        <v>482</v>
      </c>
      <c r="J303" t="s">
        <v>24</v>
      </c>
      <c r="K303" t="e">
        <f>VLOOKUP(J303,#REF!,2,FALSE)</f>
        <v>#REF!</v>
      </c>
      <c r="L303" t="s">
        <v>16</v>
      </c>
      <c r="M303" t="s">
        <v>17</v>
      </c>
    </row>
    <row r="304" spans="1:13" x14ac:dyDescent="0.25">
      <c r="A304" t="s">
        <v>483</v>
      </c>
      <c r="B304" t="s">
        <v>21</v>
      </c>
      <c r="C304" t="e">
        <f>VLOOKUP(B304,#REF!,2,FALSE)</f>
        <v>#REF!</v>
      </c>
      <c r="D304">
        <v>12</v>
      </c>
      <c r="E304" t="s">
        <v>11</v>
      </c>
      <c r="F304" t="s">
        <v>22</v>
      </c>
      <c r="G304">
        <f t="shared" si="4"/>
        <v>2</v>
      </c>
      <c r="H304" t="s">
        <v>13</v>
      </c>
      <c r="I304" t="s">
        <v>484</v>
      </c>
      <c r="J304" t="s">
        <v>24</v>
      </c>
      <c r="K304" t="e">
        <f>VLOOKUP(J304,#REF!,2,FALSE)</f>
        <v>#REF!</v>
      </c>
      <c r="L304" t="s">
        <v>485</v>
      </c>
      <c r="M304" t="s">
        <v>26</v>
      </c>
    </row>
    <row r="305" spans="1:13" x14ac:dyDescent="0.25">
      <c r="A305" t="s">
        <v>486</v>
      </c>
      <c r="B305" t="s">
        <v>21</v>
      </c>
      <c r="C305" t="e">
        <f>VLOOKUP(B305,#REF!,2,FALSE)</f>
        <v>#REF!</v>
      </c>
      <c r="D305">
        <v>12</v>
      </c>
      <c r="E305" t="s">
        <v>11</v>
      </c>
      <c r="F305" t="s">
        <v>22</v>
      </c>
      <c r="G305">
        <f t="shared" si="4"/>
        <v>2</v>
      </c>
      <c r="H305" t="s">
        <v>13</v>
      </c>
      <c r="I305" t="s">
        <v>30</v>
      </c>
      <c r="J305" t="s">
        <v>43</v>
      </c>
      <c r="K305" t="e">
        <f>VLOOKUP(J305,#REF!,2,FALSE)</f>
        <v>#REF!</v>
      </c>
      <c r="L305" t="s">
        <v>16</v>
      </c>
      <c r="M305" t="s">
        <v>26</v>
      </c>
    </row>
    <row r="306" spans="1:13" x14ac:dyDescent="0.25">
      <c r="A306" t="s">
        <v>487</v>
      </c>
      <c r="B306" t="s">
        <v>10</v>
      </c>
      <c r="C306" t="e">
        <f>VLOOKUP(B306,#REF!,2,FALSE)</f>
        <v>#REF!</v>
      </c>
      <c r="D306">
        <v>15</v>
      </c>
      <c r="E306" t="s">
        <v>11</v>
      </c>
      <c r="F306" t="s">
        <v>12</v>
      </c>
      <c r="G306">
        <f t="shared" si="4"/>
        <v>1</v>
      </c>
      <c r="H306" t="s">
        <v>23</v>
      </c>
      <c r="I306" t="s">
        <v>19</v>
      </c>
      <c r="J306" t="s">
        <v>24</v>
      </c>
      <c r="K306" t="e">
        <f>VLOOKUP(J306,#REF!,2,FALSE)</f>
        <v>#REF!</v>
      </c>
      <c r="L306" t="s">
        <v>19</v>
      </c>
      <c r="M306" t="s">
        <v>26</v>
      </c>
    </row>
    <row r="307" spans="1:13" x14ac:dyDescent="0.25">
      <c r="A307" t="s">
        <v>488</v>
      </c>
      <c r="B307" t="s">
        <v>21</v>
      </c>
      <c r="C307" t="e">
        <f>VLOOKUP(B307,#REF!,2,FALSE)</f>
        <v>#REF!</v>
      </c>
      <c r="D307">
        <v>11</v>
      </c>
      <c r="E307" t="s">
        <v>11</v>
      </c>
      <c r="F307" t="s">
        <v>22</v>
      </c>
      <c r="G307">
        <f t="shared" si="4"/>
        <v>2</v>
      </c>
      <c r="H307" t="s">
        <v>13</v>
      </c>
      <c r="I307" t="s">
        <v>489</v>
      </c>
      <c r="J307" t="s">
        <v>24</v>
      </c>
      <c r="K307" t="e">
        <f>VLOOKUP(J307,#REF!,2,FALSE)</f>
        <v>#REF!</v>
      </c>
      <c r="L307" t="s">
        <v>67</v>
      </c>
      <c r="M307" t="s">
        <v>17</v>
      </c>
    </row>
    <row r="308" spans="1:13" x14ac:dyDescent="0.25">
      <c r="A308" t="s">
        <v>490</v>
      </c>
      <c r="B308" t="s">
        <v>21</v>
      </c>
      <c r="C308" t="e">
        <f>VLOOKUP(B308,#REF!,2,FALSE)</f>
        <v>#REF!</v>
      </c>
      <c r="D308">
        <v>13</v>
      </c>
      <c r="E308" t="s">
        <v>11</v>
      </c>
      <c r="F308" t="s">
        <v>22</v>
      </c>
      <c r="G308">
        <f t="shared" si="4"/>
        <v>2</v>
      </c>
      <c r="H308" t="s">
        <v>13</v>
      </c>
      <c r="I308" t="s">
        <v>491</v>
      </c>
      <c r="J308" t="s">
        <v>43</v>
      </c>
      <c r="K308" t="e">
        <f>VLOOKUP(J308,#REF!,2,FALSE)</f>
        <v>#REF!</v>
      </c>
      <c r="L308" t="s">
        <v>67</v>
      </c>
      <c r="M308" t="s">
        <v>26</v>
      </c>
    </row>
    <row r="309" spans="1:13" x14ac:dyDescent="0.25">
      <c r="A309" t="s">
        <v>492</v>
      </c>
      <c r="B309" t="s">
        <v>21</v>
      </c>
      <c r="C309" t="e">
        <f>VLOOKUP(B309,#REF!,2,FALSE)</f>
        <v>#REF!</v>
      </c>
      <c r="D309">
        <v>11</v>
      </c>
      <c r="E309" t="s">
        <v>11</v>
      </c>
      <c r="F309" t="s">
        <v>22</v>
      </c>
      <c r="G309">
        <f t="shared" si="4"/>
        <v>2</v>
      </c>
      <c r="H309" t="s">
        <v>13</v>
      </c>
      <c r="J309" t="s">
        <v>24</v>
      </c>
      <c r="K309" t="e">
        <f>VLOOKUP(J309,#REF!,2,FALSE)</f>
        <v>#REF!</v>
      </c>
      <c r="L309" t="s">
        <v>16</v>
      </c>
      <c r="M309" t="s">
        <v>17</v>
      </c>
    </row>
    <row r="310" spans="1:13" x14ac:dyDescent="0.25">
      <c r="A310" t="s">
        <v>493</v>
      </c>
      <c r="B310" t="s">
        <v>10</v>
      </c>
      <c r="C310" t="e">
        <f>VLOOKUP(B310,#REF!,2,FALSE)</f>
        <v>#REF!</v>
      </c>
      <c r="D310">
        <v>18</v>
      </c>
      <c r="E310" t="s">
        <v>11</v>
      </c>
      <c r="F310" t="s">
        <v>22</v>
      </c>
      <c r="G310">
        <f t="shared" si="4"/>
        <v>2</v>
      </c>
      <c r="H310" t="s">
        <v>23</v>
      </c>
      <c r="I310" t="s">
        <v>494</v>
      </c>
      <c r="J310" t="s">
        <v>24</v>
      </c>
      <c r="K310" t="e">
        <f>VLOOKUP(J310,#REF!,2,FALSE)</f>
        <v>#REF!</v>
      </c>
      <c r="L310" t="s">
        <v>16</v>
      </c>
      <c r="M310" t="s">
        <v>17</v>
      </c>
    </row>
    <row r="311" spans="1:13" x14ac:dyDescent="0.25">
      <c r="A311" t="s">
        <v>495</v>
      </c>
      <c r="B311" t="s">
        <v>40</v>
      </c>
      <c r="C311" t="e">
        <f>VLOOKUP(B311,#REF!,2,FALSE)</f>
        <v>#REF!</v>
      </c>
      <c r="D311">
        <v>58</v>
      </c>
      <c r="E311" t="s">
        <v>41</v>
      </c>
      <c r="F311" t="s">
        <v>92</v>
      </c>
      <c r="G311">
        <v>0</v>
      </c>
      <c r="I311" t="s">
        <v>30</v>
      </c>
      <c r="J311" t="s">
        <v>15</v>
      </c>
      <c r="K311" t="e">
        <f>VLOOKUP(J311,#REF!,2,FALSE)</f>
        <v>#REF!</v>
      </c>
      <c r="L311" t="s">
        <v>16</v>
      </c>
      <c r="M311" t="s">
        <v>26</v>
      </c>
    </row>
    <row r="312" spans="1:13" x14ac:dyDescent="0.25">
      <c r="A312" t="s">
        <v>496</v>
      </c>
      <c r="B312" t="s">
        <v>21</v>
      </c>
      <c r="C312" t="e">
        <f>VLOOKUP(B312,#REF!,2,FALSE)</f>
        <v>#REF!</v>
      </c>
      <c r="D312">
        <v>13</v>
      </c>
      <c r="E312" t="s">
        <v>11</v>
      </c>
      <c r="F312" t="s">
        <v>92</v>
      </c>
      <c r="G312">
        <v>0</v>
      </c>
      <c r="H312" t="s">
        <v>13</v>
      </c>
      <c r="I312" t="s">
        <v>14</v>
      </c>
      <c r="J312" t="s">
        <v>47</v>
      </c>
      <c r="K312" t="e">
        <f>VLOOKUP(J312,#REF!,2,FALSE)</f>
        <v>#REF!</v>
      </c>
      <c r="L312" t="s">
        <v>497</v>
      </c>
      <c r="M312" t="s">
        <v>17</v>
      </c>
    </row>
    <row r="313" spans="1:13" x14ac:dyDescent="0.25">
      <c r="A313" t="s">
        <v>498</v>
      </c>
      <c r="B313" t="s">
        <v>10</v>
      </c>
      <c r="C313" t="e">
        <f>VLOOKUP(B313,#REF!,2,FALSE)</f>
        <v>#REF!</v>
      </c>
      <c r="D313">
        <v>15</v>
      </c>
      <c r="E313" t="s">
        <v>11</v>
      </c>
      <c r="F313" t="s">
        <v>12</v>
      </c>
      <c r="G313">
        <f t="shared" si="4"/>
        <v>1</v>
      </c>
      <c r="H313" t="s">
        <v>13</v>
      </c>
      <c r="I313" t="s">
        <v>14</v>
      </c>
      <c r="J313" t="s">
        <v>24</v>
      </c>
      <c r="K313" t="e">
        <f>VLOOKUP(J313,#REF!,2,FALSE)</f>
        <v>#REF!</v>
      </c>
      <c r="L313" t="s">
        <v>499</v>
      </c>
      <c r="M313" t="s">
        <v>17</v>
      </c>
    </row>
    <row r="314" spans="1:13" x14ac:dyDescent="0.25">
      <c r="A314" t="s">
        <v>500</v>
      </c>
      <c r="B314" t="s">
        <v>21</v>
      </c>
      <c r="C314" t="e">
        <f>VLOOKUP(B314,#REF!,2,FALSE)</f>
        <v>#REF!</v>
      </c>
      <c r="D314">
        <v>11</v>
      </c>
      <c r="E314" t="s">
        <v>11</v>
      </c>
      <c r="F314" t="s">
        <v>12</v>
      </c>
      <c r="G314">
        <f t="shared" si="4"/>
        <v>1</v>
      </c>
      <c r="H314" t="s">
        <v>13</v>
      </c>
      <c r="I314" t="s">
        <v>14</v>
      </c>
      <c r="L314" t="s">
        <v>501</v>
      </c>
    </row>
    <row r="315" spans="1:13" x14ac:dyDescent="0.25">
      <c r="A315" t="s">
        <v>502</v>
      </c>
      <c r="B315" t="s">
        <v>21</v>
      </c>
      <c r="C315" t="e">
        <f>VLOOKUP(B315,#REF!,2,FALSE)</f>
        <v>#REF!</v>
      </c>
      <c r="D315">
        <v>14</v>
      </c>
      <c r="E315" t="s">
        <v>11</v>
      </c>
      <c r="F315" t="s">
        <v>12</v>
      </c>
      <c r="G315">
        <f t="shared" si="4"/>
        <v>1</v>
      </c>
      <c r="H315" t="s">
        <v>13</v>
      </c>
      <c r="I315" t="s">
        <v>14</v>
      </c>
      <c r="J315" t="s">
        <v>24</v>
      </c>
      <c r="K315" t="e">
        <f>VLOOKUP(J315,#REF!,2,FALSE)</f>
        <v>#REF!</v>
      </c>
      <c r="L315" t="s">
        <v>503</v>
      </c>
      <c r="M315" t="s">
        <v>17</v>
      </c>
    </row>
    <row r="316" spans="1:13" x14ac:dyDescent="0.25">
      <c r="A316" t="s">
        <v>504</v>
      </c>
      <c r="B316" t="s">
        <v>21</v>
      </c>
      <c r="C316" t="e">
        <f>VLOOKUP(B316,#REF!,2,FALSE)</f>
        <v>#REF!</v>
      </c>
      <c r="D316">
        <v>13</v>
      </c>
      <c r="E316" t="s">
        <v>11</v>
      </c>
      <c r="F316" t="s">
        <v>22</v>
      </c>
      <c r="G316">
        <f t="shared" si="4"/>
        <v>2</v>
      </c>
      <c r="H316" t="s">
        <v>23</v>
      </c>
      <c r="I316" t="s">
        <v>505</v>
      </c>
      <c r="J316" t="s">
        <v>24</v>
      </c>
      <c r="K316" t="e">
        <f>VLOOKUP(J316,#REF!,2,FALSE)</f>
        <v>#REF!</v>
      </c>
      <c r="L316" t="s">
        <v>16</v>
      </c>
      <c r="M316" t="s">
        <v>26</v>
      </c>
    </row>
    <row r="317" spans="1:13" x14ac:dyDescent="0.25">
      <c r="A317" t="s">
        <v>506</v>
      </c>
      <c r="B317" t="s">
        <v>21</v>
      </c>
      <c r="C317" t="e">
        <f>VLOOKUP(B317,#REF!,2,FALSE)</f>
        <v>#REF!</v>
      </c>
      <c r="D317">
        <v>14</v>
      </c>
      <c r="E317" t="s">
        <v>11</v>
      </c>
      <c r="F317" t="s">
        <v>22</v>
      </c>
      <c r="G317">
        <f t="shared" si="4"/>
        <v>2</v>
      </c>
      <c r="H317" t="s">
        <v>13</v>
      </c>
      <c r="I317" t="s">
        <v>19</v>
      </c>
      <c r="J317" t="s">
        <v>24</v>
      </c>
      <c r="K317" t="e">
        <f>VLOOKUP(J317,#REF!,2,FALSE)</f>
        <v>#REF!</v>
      </c>
      <c r="L317" t="s">
        <v>507</v>
      </c>
      <c r="M317" t="s">
        <v>17</v>
      </c>
    </row>
    <row r="318" spans="1:13" x14ac:dyDescent="0.25">
      <c r="A318" t="s">
        <v>508</v>
      </c>
      <c r="B318" t="s">
        <v>21</v>
      </c>
      <c r="C318" t="e">
        <f>VLOOKUP(B318,#REF!,2,FALSE)</f>
        <v>#REF!</v>
      </c>
      <c r="D318">
        <v>13</v>
      </c>
      <c r="E318" t="s">
        <v>11</v>
      </c>
      <c r="F318" t="s">
        <v>12</v>
      </c>
      <c r="G318">
        <f t="shared" si="4"/>
        <v>1</v>
      </c>
      <c r="H318" t="s">
        <v>13</v>
      </c>
      <c r="I318" t="s">
        <v>509</v>
      </c>
      <c r="J318" t="s">
        <v>43</v>
      </c>
      <c r="K318" t="e">
        <f>VLOOKUP(J318,#REF!,2,FALSE)</f>
        <v>#REF!</v>
      </c>
      <c r="L318" t="s">
        <v>510</v>
      </c>
      <c r="M318" t="s">
        <v>17</v>
      </c>
    </row>
    <row r="319" spans="1:13" x14ac:dyDescent="0.25">
      <c r="A319" t="s">
        <v>511</v>
      </c>
      <c r="B319" t="s">
        <v>21</v>
      </c>
      <c r="C319" t="e">
        <f>VLOOKUP(B319,#REF!,2,FALSE)</f>
        <v>#REF!</v>
      </c>
      <c r="D319">
        <v>11</v>
      </c>
      <c r="E319" t="s">
        <v>11</v>
      </c>
      <c r="F319" t="s">
        <v>22</v>
      </c>
      <c r="G319">
        <f t="shared" si="4"/>
        <v>2</v>
      </c>
      <c r="H319" t="s">
        <v>13</v>
      </c>
      <c r="I319" t="s">
        <v>30</v>
      </c>
      <c r="J319" t="s">
        <v>24</v>
      </c>
      <c r="K319" t="e">
        <f>VLOOKUP(J319,#REF!,2,FALSE)</f>
        <v>#REF!</v>
      </c>
      <c r="L319" t="s">
        <v>16</v>
      </c>
      <c r="M319" t="s">
        <v>26</v>
      </c>
    </row>
    <row r="320" spans="1:13" x14ac:dyDescent="0.25">
      <c r="A320" t="s">
        <v>512</v>
      </c>
      <c r="B320" t="s">
        <v>21</v>
      </c>
      <c r="C320" t="e">
        <f>VLOOKUP(B320,#REF!,2,FALSE)</f>
        <v>#REF!</v>
      </c>
      <c r="D320">
        <v>14</v>
      </c>
      <c r="E320" t="s">
        <v>11</v>
      </c>
      <c r="F320" t="s">
        <v>22</v>
      </c>
      <c r="G320">
        <f t="shared" si="4"/>
        <v>2</v>
      </c>
      <c r="H320" t="s">
        <v>13</v>
      </c>
      <c r="I320" t="s">
        <v>14</v>
      </c>
      <c r="J320" t="s">
        <v>24</v>
      </c>
      <c r="K320" t="e">
        <f>VLOOKUP(J320,#REF!,2,FALSE)</f>
        <v>#REF!</v>
      </c>
      <c r="L320" t="s">
        <v>16</v>
      </c>
      <c r="M320" t="s">
        <v>26</v>
      </c>
    </row>
    <row r="321" spans="1:13" x14ac:dyDescent="0.25">
      <c r="A321" t="s">
        <v>513</v>
      </c>
      <c r="B321" t="s">
        <v>21</v>
      </c>
      <c r="C321" t="e">
        <f>VLOOKUP(B321,#REF!,2,FALSE)</f>
        <v>#REF!</v>
      </c>
      <c r="D321">
        <v>12</v>
      </c>
      <c r="E321" t="s">
        <v>11</v>
      </c>
      <c r="F321" t="s">
        <v>22</v>
      </c>
      <c r="G321">
        <f t="shared" si="4"/>
        <v>2</v>
      </c>
      <c r="H321" t="s">
        <v>23</v>
      </c>
      <c r="I321" t="s">
        <v>30</v>
      </c>
      <c r="J321" t="s">
        <v>15</v>
      </c>
      <c r="K321" t="e">
        <f>VLOOKUP(J321,#REF!,2,FALSE)</f>
        <v>#REF!</v>
      </c>
      <c r="L321" t="s">
        <v>16</v>
      </c>
      <c r="M321" t="s">
        <v>26</v>
      </c>
    </row>
    <row r="322" spans="1:13" x14ac:dyDescent="0.25">
      <c r="A322" t="s">
        <v>514</v>
      </c>
      <c r="B322" t="s">
        <v>21</v>
      </c>
      <c r="C322" t="e">
        <f>VLOOKUP(B322,#REF!,2,FALSE)</f>
        <v>#REF!</v>
      </c>
      <c r="D322">
        <v>12</v>
      </c>
      <c r="E322" t="s">
        <v>52</v>
      </c>
      <c r="F322" t="s">
        <v>22</v>
      </c>
      <c r="G322">
        <f t="shared" si="4"/>
        <v>2</v>
      </c>
      <c r="H322" t="s">
        <v>23</v>
      </c>
      <c r="I322" t="s">
        <v>30</v>
      </c>
      <c r="J322" t="s">
        <v>15</v>
      </c>
      <c r="K322" t="e">
        <f>VLOOKUP(J322,#REF!,2,FALSE)</f>
        <v>#REF!</v>
      </c>
      <c r="L322" t="s">
        <v>16</v>
      </c>
      <c r="M322" t="s">
        <v>26</v>
      </c>
    </row>
    <row r="323" spans="1:13" x14ac:dyDescent="0.25">
      <c r="A323" t="s">
        <v>515</v>
      </c>
      <c r="B323" t="s">
        <v>21</v>
      </c>
      <c r="C323" t="e">
        <f>VLOOKUP(B323,#REF!,2,FALSE)</f>
        <v>#REF!</v>
      </c>
      <c r="D323">
        <v>13</v>
      </c>
      <c r="E323" t="s">
        <v>11</v>
      </c>
      <c r="F323" t="s">
        <v>22</v>
      </c>
      <c r="G323">
        <f t="shared" ref="G323:G325" si="5">IF(EXACT(F323,"Weiblich"),2,1)</f>
        <v>2</v>
      </c>
      <c r="H323" t="s">
        <v>13</v>
      </c>
      <c r="I323" t="s">
        <v>42</v>
      </c>
      <c r="J323" t="s">
        <v>15</v>
      </c>
      <c r="K323" t="e">
        <f>VLOOKUP(J323,#REF!,2,FALSE)</f>
        <v>#REF!</v>
      </c>
      <c r="L323" t="s">
        <v>16</v>
      </c>
      <c r="M323" t="s">
        <v>17</v>
      </c>
    </row>
    <row r="324" spans="1:13" x14ac:dyDescent="0.25">
      <c r="A324" t="s">
        <v>516</v>
      </c>
      <c r="B324" t="s">
        <v>21</v>
      </c>
      <c r="C324" t="e">
        <f>VLOOKUP(B324,#REF!,2,FALSE)</f>
        <v>#REF!</v>
      </c>
      <c r="D324">
        <v>11</v>
      </c>
      <c r="E324" t="s">
        <v>11</v>
      </c>
      <c r="F324" t="s">
        <v>22</v>
      </c>
      <c r="G324">
        <f t="shared" si="5"/>
        <v>2</v>
      </c>
      <c r="H324" t="s">
        <v>13</v>
      </c>
      <c r="I324" t="s">
        <v>30</v>
      </c>
      <c r="J324" t="s">
        <v>47</v>
      </c>
      <c r="K324" t="e">
        <f>VLOOKUP(J324,#REF!,2,FALSE)</f>
        <v>#REF!</v>
      </c>
      <c r="L324" t="s">
        <v>517</v>
      </c>
      <c r="M324" t="s">
        <v>26</v>
      </c>
    </row>
    <row r="325" spans="1:13" x14ac:dyDescent="0.25">
      <c r="A325" t="s">
        <v>518</v>
      </c>
      <c r="B325" t="s">
        <v>21</v>
      </c>
      <c r="C325" t="e">
        <f>VLOOKUP(B325,#REF!,2,FALSE)</f>
        <v>#REF!</v>
      </c>
      <c r="D325">
        <v>14</v>
      </c>
      <c r="E325" t="s">
        <v>11</v>
      </c>
      <c r="F325" t="s">
        <v>22</v>
      </c>
      <c r="G325">
        <f t="shared" si="5"/>
        <v>2</v>
      </c>
      <c r="H325" t="s">
        <v>13</v>
      </c>
      <c r="I325" t="s">
        <v>14</v>
      </c>
      <c r="J325" t="s">
        <v>15</v>
      </c>
      <c r="K325" t="e">
        <f>VLOOKUP(J325,#REF!,2,FALSE)</f>
        <v>#REF!</v>
      </c>
      <c r="L325" t="s">
        <v>519</v>
      </c>
      <c r="M325" t="s">
        <v>26</v>
      </c>
    </row>
    <row r="329" spans="1:13" x14ac:dyDescent="0.25">
      <c r="D329">
        <f>AVERAGE(D2:D325)</f>
        <v>16.382716049382715</v>
      </c>
    </row>
    <row r="330" spans="1:13" x14ac:dyDescent="0.25">
      <c r="D330">
        <f>MEDIAN(D2:D325)</f>
        <v>14.5</v>
      </c>
    </row>
    <row r="331" spans="1:13" x14ac:dyDescent="0.25">
      <c r="D331">
        <f>MODE(D2:D325)</f>
        <v>11</v>
      </c>
    </row>
    <row r="332" spans="1:13" x14ac:dyDescent="0.25">
      <c r="D332">
        <f>VAR(D2:D325)</f>
        <v>72.664220464014065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Rohdaten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Linus Reichelt</dc:creator>
  <cp:lastModifiedBy>Linus Reichelt</cp:lastModifiedBy>
  <dcterms:created xsi:type="dcterms:W3CDTF">2026-05-16T08:58:31Z</dcterms:created>
  <dcterms:modified xsi:type="dcterms:W3CDTF">2026-05-19T18:46:57Z</dcterms:modified>
</cp:coreProperties>
</file>